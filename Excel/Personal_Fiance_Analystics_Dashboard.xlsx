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hidePivotFieldList="1"/>
  <mc:AlternateContent xmlns:mc="http://schemas.openxmlformats.org/markup-compatibility/2006">
    <mc:Choice Requires="x15">
      <x15ac:absPath xmlns:x15ac="http://schemas.microsoft.com/office/spreadsheetml/2010/11/ac" url="https://d.docs.live.net/0e637541b94c9dc0/Documents/personal-finance-analysis/"/>
    </mc:Choice>
  </mc:AlternateContent>
  <xr:revisionPtr revIDLastSave="0" documentId="8_{F59D232B-4661-4C83-856E-A42817B87B22}" xr6:coauthVersionLast="47" xr6:coauthVersionMax="47" xr10:uidLastSave="{00000000-0000-0000-0000-000000000000}"/>
  <workbookProtection workbookAlgorithmName="SHA-512" workbookHashValue="xda1muGQidf+6xvwaoMEZ7oI5zwvLQ1/w2AW4e2Q1MZiVKASLyis14Cs3BKKW9hrcCIaqnqzra+OCV+gKsVS5A==" workbookSaltValue="h+/bYa//0NyvXiYOkYwItQ==" workbookSpinCount="100000" lockStructure="1"/>
  <bookViews>
    <workbookView xWindow="-108" yWindow="-108" windowWidth="23256" windowHeight="12456" firstSheet="2" activeTab="5" xr2:uid="{00000000-000D-0000-FFFF-FFFF00000000}"/>
  </bookViews>
  <sheets>
    <sheet name="Budget" sheetId="1" state="hidden" r:id="rId1"/>
    <sheet name="Sheet3" sheetId="5" state="hidden" r:id="rId2"/>
    <sheet name="Project Summary" sheetId="9" r:id="rId3"/>
    <sheet name="Dashboard" sheetId="6" r:id="rId4"/>
    <sheet name="Data" sheetId="3" r:id="rId5"/>
    <sheet name="Pivot Tables" sheetId="7" r:id="rId6"/>
    <sheet name="Chart" sheetId="2" state="hidden" r:id="rId7"/>
  </sheets>
  <definedNames>
    <definedName name="_xlnm._FilterDatabase" localSheetId="3" hidden="1">Dashboard!$C$1:$Q$6</definedName>
    <definedName name="Slicer_Monthly_Expenses">#N/A</definedName>
    <definedName name="Slicer_Monthly_Expenses1">#N/A</definedName>
  </definedNames>
  <calcPr calcId="191028"/>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 l="1"/>
  <c r="C6" i="6"/>
  <c r="O6" i="6" s="1"/>
  <c r="S6" i="6"/>
  <c r="C11" i="6"/>
  <c r="O11" i="6" s="1"/>
  <c r="J16" i="3"/>
  <c r="K16" i="3" s="1"/>
  <c r="I27" i="3"/>
  <c r="H27" i="3"/>
  <c r="G27" i="3"/>
  <c r="F27" i="3"/>
  <c r="E27" i="3"/>
  <c r="D27" i="3"/>
  <c r="C27" i="3"/>
  <c r="B27" i="3"/>
  <c r="J26" i="3"/>
  <c r="K26" i="3" s="1"/>
  <c r="J25" i="3"/>
  <c r="K25" i="3" s="1"/>
  <c r="J24" i="3"/>
  <c r="K24" i="3" s="1"/>
  <c r="J23" i="3"/>
  <c r="K23" i="3" s="1"/>
  <c r="J22" i="3"/>
  <c r="K22" i="3" s="1"/>
  <c r="K11" i="6" s="1"/>
  <c r="S11" i="6" s="1"/>
  <c r="J21" i="3"/>
  <c r="K21" i="3" s="1"/>
  <c r="J20" i="3"/>
  <c r="K20" i="3" s="1"/>
  <c r="J19" i="3"/>
  <c r="K19" i="3" s="1"/>
  <c r="J18" i="3"/>
  <c r="K18" i="3" s="1"/>
  <c r="J17" i="3"/>
  <c r="K17" i="3" s="1"/>
  <c r="R4" i="1"/>
  <c r="F6" i="5"/>
  <c r="E6" i="5"/>
  <c r="D6" i="5"/>
  <c r="T4" i="1"/>
  <c r="Q5" i="1"/>
  <c r="Q6" i="1"/>
  <c r="Q7" i="1"/>
  <c r="Q8" i="1"/>
  <c r="Q9" i="1"/>
  <c r="Q10" i="1"/>
  <c r="Q11" i="1"/>
  <c r="Q12" i="1"/>
  <c r="Q13" i="1"/>
  <c r="Q14" i="1"/>
  <c r="Q4" i="1"/>
  <c r="Q15" i="1" s="1"/>
  <c r="O16" i="1"/>
  <c r="P16" i="1"/>
  <c r="J16" i="1"/>
  <c r="K16" i="1"/>
  <c r="L16" i="1"/>
  <c r="M16" i="1"/>
  <c r="N16" i="1"/>
  <c r="I16" i="1"/>
  <c r="J15" i="1"/>
  <c r="K15" i="1"/>
  <c r="L15" i="1"/>
  <c r="M15" i="1"/>
  <c r="N15" i="1"/>
  <c r="O15" i="1"/>
  <c r="P15" i="1"/>
  <c r="I15" i="1"/>
  <c r="F7" i="1"/>
  <c r="E7" i="1"/>
  <c r="D7" i="1"/>
  <c r="G11" i="6" l="1"/>
  <c r="K27" i="3"/>
  <c r="J27" i="3"/>
  <c r="S5" i="1"/>
  <c r="T5" i="1"/>
  <c r="S6" i="1"/>
  <c r="R13" i="1"/>
  <c r="R5" i="1"/>
  <c r="R6" i="1"/>
  <c r="R7" i="1"/>
  <c r="R8" i="1"/>
  <c r="R9" i="1"/>
  <c r="R11" i="1"/>
  <c r="R12" i="1"/>
  <c r="R14" i="1"/>
  <c r="R10" i="1"/>
  <c r="Q16" i="1"/>
  <c r="S7" i="1" l="1"/>
  <c r="T6" i="1"/>
  <c r="R16" i="1"/>
  <c r="S8" i="1" l="1"/>
  <c r="T7" i="1"/>
  <c r="T8" i="1" l="1"/>
  <c r="S9" i="1"/>
  <c r="S10" i="1" l="1"/>
  <c r="T9" i="1"/>
  <c r="S11" i="1" l="1"/>
  <c r="T10" i="1"/>
  <c r="S12" i="1" l="1"/>
  <c r="T11" i="1"/>
  <c r="S13" i="1" l="1"/>
  <c r="T12" i="1"/>
  <c r="T13" i="1" l="1"/>
  <c r="S14" i="1"/>
  <c r="T14" i="1" s="1"/>
</calcChain>
</file>

<file path=xl/sharedStrings.xml><?xml version="1.0" encoding="utf-8"?>
<sst xmlns="http://schemas.openxmlformats.org/spreadsheetml/2006/main" count="158" uniqueCount="83">
  <si>
    <t>A Data Analyst Household Budget</t>
  </si>
  <si>
    <t>Data Analyst in Fort Lauderdale, FL</t>
  </si>
  <si>
    <t>Monthly Expenses</t>
  </si>
  <si>
    <t>Job Title</t>
  </si>
  <si>
    <t>Hourly Wage</t>
  </si>
  <si>
    <t>Monthly Salary</t>
  </si>
  <si>
    <t>Annual Income</t>
  </si>
  <si>
    <t>Month</t>
  </si>
  <si>
    <t>Electricity Bill</t>
  </si>
  <si>
    <t>Rent</t>
  </si>
  <si>
    <t>Phone Bill</t>
  </si>
  <si>
    <t>Car Insurance</t>
  </si>
  <si>
    <t>Water Bill</t>
  </si>
  <si>
    <t>Grocery Bill</t>
  </si>
  <si>
    <t>Gas</t>
  </si>
  <si>
    <t>Dining Out</t>
  </si>
  <si>
    <t>Total Expense</t>
  </si>
  <si>
    <t>Remaining Wage</t>
  </si>
  <si>
    <t>Yearly Expenses</t>
  </si>
  <si>
    <t>Total Income</t>
  </si>
  <si>
    <t>Junior Data Analyst</t>
  </si>
  <si>
    <t>January</t>
  </si>
  <si>
    <t>Entry-Level Remote Data Analyst</t>
  </si>
  <si>
    <t>Feburary</t>
  </si>
  <si>
    <t>Business Intelligence Analyst - Entry Level</t>
  </si>
  <si>
    <t>March</t>
  </si>
  <si>
    <t>April</t>
  </si>
  <si>
    <t>Average Salary</t>
  </si>
  <si>
    <t>June</t>
  </si>
  <si>
    <t>July</t>
  </si>
  <si>
    <t>August</t>
  </si>
  <si>
    <t>September</t>
  </si>
  <si>
    <t>October</t>
  </si>
  <si>
    <t>November</t>
  </si>
  <si>
    <t>December</t>
  </si>
  <si>
    <t>Monthly Subtotal</t>
  </si>
  <si>
    <t>Average Expense</t>
  </si>
  <si>
    <t>Column1</t>
  </si>
  <si>
    <t>Column2</t>
  </si>
  <si>
    <t>Column3</t>
  </si>
  <si>
    <t>Column4</t>
  </si>
  <si>
    <t>Column5</t>
  </si>
  <si>
    <t>Column6</t>
  </si>
  <si>
    <t>Column7</t>
  </si>
  <si>
    <t>Column8</t>
  </si>
  <si>
    <t>Column9</t>
  </si>
  <si>
    <t>Column10</t>
  </si>
  <si>
    <t>Column11</t>
  </si>
  <si>
    <t>Column12</t>
  </si>
  <si>
    <t>Column13</t>
  </si>
  <si>
    <t>Total Monthly Expense</t>
  </si>
  <si>
    <t>Monthly Savings</t>
  </si>
  <si>
    <t>Average Data Analyst Job</t>
  </si>
  <si>
    <t>Income Information</t>
  </si>
  <si>
    <t xml:space="preserve">Monthly Income </t>
  </si>
  <si>
    <t xml:space="preserve"> Jr Data Analyst</t>
  </si>
  <si>
    <t>Average</t>
  </si>
  <si>
    <t>Net Savings</t>
  </si>
  <si>
    <t>Monthly Income</t>
  </si>
  <si>
    <t>Expense Category</t>
  </si>
  <si>
    <t>Annual Total</t>
  </si>
  <si>
    <t>Grand Total</t>
  </si>
  <si>
    <t xml:space="preserve"> Total Expenses </t>
  </si>
  <si>
    <t>Total Savings</t>
  </si>
  <si>
    <t xml:space="preserve"> Total Monthly Expense</t>
  </si>
  <si>
    <t xml:space="preserve"> Savings Rate</t>
  </si>
  <si>
    <t>Personal Fiance Analystics Dashboard</t>
  </si>
  <si>
    <t>Year Overview</t>
  </si>
  <si>
    <t>Monthly Snapshot</t>
  </si>
  <si>
    <t>Monthly Savings Rate</t>
  </si>
  <si>
    <t>Key Insights</t>
  </si>
  <si>
    <t>Viewing</t>
  </si>
  <si>
    <t>Objective</t>
  </si>
  <si>
    <t>Pivot Tables</t>
  </si>
  <si>
    <t xml:space="preserve">Project Overview </t>
  </si>
  <si>
    <t>Skills Demonstrated</t>
  </si>
  <si>
    <t>February</t>
  </si>
  <si>
    <t xml:space="preserve">Monthly Expense </t>
  </si>
  <si>
    <t xml:space="preserve"> Net Savings</t>
  </si>
  <si>
    <t>Year Savings Status</t>
  </si>
  <si>
    <t>Monthly Saving Status</t>
  </si>
  <si>
    <t>Raw Data</t>
  </si>
  <si>
    <t>Total Income (11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</si>
</sst>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_([$$-409]* #,##0.00_);_([$$-409]* \(#,##0.00\);_([$$-409]* &quot;-&quot;??_);_(@_)"/>
  </numFmts>
  <fonts count="16" x14ac:knownFonts="1">
    <font>
      <sz val="11"/>
      <color theme="1"/>
      <name val="Aptos Narrow"/>
      <family val="2"/>
      <scheme val="minor"/>
    </font>
    <font>
      <sz val="11"/>
      <color theme="1"/>
      <name val="Aptos Narrow"/>
      <family val="2"/>
      <scheme val="minor"/>
    </font>
    <font>
      <b/>
      <sz val="12"/>
      <color theme="1"/>
      <name val="Times New Roman"/>
      <family val="1"/>
    </font>
    <font>
      <sz val="11"/>
      <color rgb="FF006100"/>
      <name val="Aptos Narrow"/>
      <family val="2"/>
      <scheme val="minor"/>
    </font>
    <font>
      <sz val="12"/>
      <color theme="1"/>
      <name val="Times New Roman"/>
      <family val="1"/>
    </font>
    <font>
      <b/>
      <sz val="16"/>
      <color rgb="FF006100"/>
      <name val="Times New Roman"/>
      <family val="1"/>
    </font>
    <font>
      <sz val="12"/>
      <color rgb="FFFF0000"/>
      <name val="Times New Roman"/>
      <family val="1"/>
    </font>
    <font>
      <sz val="11"/>
      <color theme="1"/>
      <name val="Calibri"/>
      <family val="2"/>
    </font>
    <font>
      <b/>
      <sz val="20"/>
      <color theme="1"/>
      <name val="Calibri"/>
      <family val="2"/>
    </font>
    <font>
      <sz val="8"/>
      <name val="Aptos Narrow"/>
      <family val="2"/>
      <scheme val="minor"/>
    </font>
    <font>
      <b/>
      <sz val="14"/>
      <color theme="1"/>
      <name val="Calibri"/>
      <family val="2"/>
    </font>
    <font>
      <b/>
      <sz val="16"/>
      <color theme="1"/>
      <name val="Calibri"/>
      <family val="2"/>
    </font>
    <font>
      <b/>
      <sz val="12"/>
      <color theme="1"/>
      <name val="Calibri"/>
      <family val="2"/>
    </font>
    <font>
      <b/>
      <sz val="18"/>
      <color theme="1"/>
      <name val="Calibri"/>
      <family val="2"/>
    </font>
    <font>
      <b/>
      <sz val="11"/>
      <color theme="1"/>
      <name val="Calibri"/>
      <family val="2"/>
    </font>
    <font>
      <b/>
      <sz val="22"/>
      <color theme="1"/>
      <name val="Calibri"/>
      <family val="2"/>
    </font>
  </fonts>
  <fills count="11">
    <fill>
      <patternFill patternType="none"/>
    </fill>
    <fill>
      <patternFill patternType="gray125"/>
    </fill>
    <fill>
      <patternFill patternType="solid">
        <fgColor theme="6" tint="0.39997558519241921"/>
        <bgColor indexed="64"/>
      </patternFill>
    </fill>
    <fill>
      <patternFill patternType="solid">
        <fgColor theme="6" tint="0.79998168889431442"/>
        <bgColor indexed="64"/>
      </patternFill>
    </fill>
    <fill>
      <patternFill patternType="solid">
        <fgColor theme="0"/>
        <bgColor indexed="64"/>
      </patternFill>
    </fill>
    <fill>
      <patternFill patternType="solid">
        <fgColor rgb="FFC6EFCE"/>
      </patternFill>
    </fill>
    <fill>
      <patternFill patternType="solid">
        <fgColor theme="6" tint="0.79998168889431442"/>
        <bgColor indexed="65"/>
      </patternFill>
    </fill>
    <fill>
      <patternFill patternType="solid">
        <fgColor theme="6" tint="0.39997558519241921"/>
        <bgColor indexed="65"/>
      </patternFill>
    </fill>
    <fill>
      <patternFill patternType="solid">
        <fgColor theme="1" tint="0.499984740745262"/>
        <bgColor indexed="64"/>
      </patternFill>
    </fill>
    <fill>
      <patternFill patternType="solid">
        <fgColor theme="1" tint="0.249977111117893"/>
        <bgColor indexed="64"/>
      </patternFill>
    </fill>
    <fill>
      <patternFill patternType="solid">
        <fgColor theme="1" tint="0.34998626667073579"/>
        <bgColor indexed="64"/>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top/>
      <bottom/>
      <diagonal/>
    </border>
    <border>
      <left/>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style="thin">
        <color rgb="FF000000"/>
      </bottom>
      <diagonal/>
    </border>
    <border>
      <left/>
      <right/>
      <top style="thin">
        <color rgb="FF000000"/>
      </top>
      <bottom/>
      <diagonal/>
    </border>
    <border>
      <left style="thin">
        <color theme="1"/>
      </left>
      <right style="thin">
        <color theme="1"/>
      </right>
      <top style="thin">
        <color theme="1"/>
      </top>
      <bottom style="medium">
        <color theme="1"/>
      </bottom>
      <diagonal/>
    </border>
    <border>
      <left style="medium">
        <color theme="1"/>
      </left>
      <right style="medium">
        <color theme="1"/>
      </right>
      <top style="medium">
        <color theme="1"/>
      </top>
      <bottom style="medium">
        <color theme="1"/>
      </bottom>
      <diagonal/>
    </border>
    <border>
      <left style="medium">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thin">
        <color theme="1"/>
      </right>
      <top style="thin">
        <color theme="1"/>
      </top>
      <bottom/>
      <diagonal/>
    </border>
    <border>
      <left style="thin">
        <color theme="1"/>
      </left>
      <right style="thin">
        <color theme="1"/>
      </right>
      <top style="thin">
        <color theme="1"/>
      </top>
      <bottom/>
      <diagonal/>
    </border>
    <border>
      <left style="thin">
        <color theme="1"/>
      </left>
      <right style="medium">
        <color theme="1"/>
      </right>
      <top style="thin">
        <color theme="1"/>
      </top>
      <bottom/>
      <diagonal/>
    </border>
    <border>
      <left/>
      <right style="medium">
        <color theme="1"/>
      </right>
      <top/>
      <bottom/>
      <diagonal/>
    </border>
    <border>
      <left style="medium">
        <color theme="1"/>
      </left>
      <right/>
      <top/>
      <bottom/>
      <diagonal/>
    </border>
    <border>
      <left style="medium">
        <color theme="1"/>
      </left>
      <right style="thin">
        <color theme="1"/>
      </right>
      <top/>
      <bottom style="thin">
        <color theme="1"/>
      </bottom>
      <diagonal/>
    </border>
    <border>
      <left style="thin">
        <color theme="1"/>
      </left>
      <right style="thin">
        <color theme="1"/>
      </right>
      <top/>
      <bottom style="thin">
        <color theme="1"/>
      </bottom>
      <diagonal/>
    </border>
    <border>
      <left style="thin">
        <color theme="1"/>
      </left>
      <right style="medium">
        <color theme="1"/>
      </right>
      <top/>
      <bottom style="thin">
        <color theme="1"/>
      </bottom>
      <diagonal/>
    </border>
  </borders>
  <cellStyleXfs count="6">
    <xf numFmtId="0" fontId="0" fillId="0" borderId="0"/>
    <xf numFmtId="0" fontId="3"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23">
    <xf numFmtId="0" fontId="0" fillId="0" borderId="0" xfId="0"/>
    <xf numFmtId="0" fontId="2" fillId="4" borderId="1" xfId="0" applyFont="1" applyFill="1" applyBorder="1" applyAlignment="1">
      <alignment horizontal="center" vertical="top" wrapText="1"/>
    </xf>
    <xf numFmtId="0" fontId="2" fillId="4" borderId="1" xfId="0" applyFont="1" applyFill="1" applyBorder="1" applyAlignment="1">
      <alignment horizontal="center" vertical="center" wrapText="1"/>
    </xf>
    <xf numFmtId="8" fontId="4" fillId="3" borderId="1" xfId="0" applyNumberFormat="1" applyFont="1" applyFill="1" applyBorder="1" applyAlignment="1">
      <alignment horizontal="center"/>
    </xf>
    <xf numFmtId="164" fontId="4" fillId="3" borderId="1" xfId="0" applyNumberFormat="1" applyFont="1" applyFill="1" applyBorder="1"/>
    <xf numFmtId="8" fontId="4" fillId="3" borderId="3" xfId="0" applyNumberFormat="1" applyFont="1" applyFill="1" applyBorder="1" applyAlignment="1">
      <alignment horizontal="center" vertical="center"/>
    </xf>
    <xf numFmtId="164" fontId="4" fillId="3" borderId="3" xfId="0" applyNumberFormat="1" applyFont="1" applyFill="1" applyBorder="1"/>
    <xf numFmtId="0" fontId="2" fillId="0" borderId="0" xfId="0" applyFont="1" applyAlignment="1">
      <alignment horizontal="center" vertical="center" wrapText="1"/>
    </xf>
    <xf numFmtId="0" fontId="2" fillId="4" borderId="2" xfId="0" applyFont="1" applyFill="1" applyBorder="1" applyAlignment="1">
      <alignment horizontal="center" wrapText="1"/>
    </xf>
    <xf numFmtId="8" fontId="4" fillId="3" borderId="2" xfId="0" applyNumberFormat="1" applyFont="1" applyFill="1" applyBorder="1"/>
    <xf numFmtId="8" fontId="4" fillId="3" borderId="6" xfId="0" applyNumberFormat="1" applyFont="1" applyFill="1" applyBorder="1"/>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0" xfId="0" applyFont="1" applyBorder="1" applyAlignment="1">
      <alignment horizontal="center" vertical="center"/>
    </xf>
    <xf numFmtId="164" fontId="4" fillId="6" borderId="1" xfId="2" applyNumberFormat="1" applyFont="1" applyBorder="1"/>
    <xf numFmtId="164" fontId="4" fillId="6" borderId="4" xfId="2" applyNumberFormat="1" applyFont="1" applyBorder="1"/>
    <xf numFmtId="164" fontId="4" fillId="6" borderId="0" xfId="2" applyNumberFormat="1" applyFont="1"/>
    <xf numFmtId="164" fontId="4" fillId="6" borderId="11" xfId="2" applyNumberFormat="1" applyFont="1" applyBorder="1" applyAlignment="1">
      <alignment horizontal="center"/>
    </xf>
    <xf numFmtId="164" fontId="4" fillId="6" borderId="11" xfId="2" applyNumberFormat="1" applyFont="1" applyBorder="1"/>
    <xf numFmtId="0" fontId="4" fillId="6" borderId="1" xfId="2" applyFont="1" applyBorder="1"/>
    <xf numFmtId="164" fontId="6" fillId="6" borderId="4" xfId="2" applyNumberFormat="1" applyFont="1" applyBorder="1"/>
    <xf numFmtId="0" fontId="2" fillId="7" borderId="7" xfId="3" applyFont="1" applyBorder="1" applyAlignment="1">
      <alignment horizontal="center"/>
    </xf>
    <xf numFmtId="0" fontId="2" fillId="7" borderId="4" xfId="3" applyFont="1" applyBorder="1" applyAlignment="1">
      <alignment horizontal="center"/>
    </xf>
    <xf numFmtId="0" fontId="2" fillId="7" borderId="12" xfId="3" applyFont="1" applyBorder="1" applyAlignment="1">
      <alignment horizontal="center"/>
    </xf>
    <xf numFmtId="0" fontId="2" fillId="0" borderId="11" xfId="0" applyFont="1" applyBorder="1" applyAlignment="1">
      <alignment horizontal="center" vertical="center"/>
    </xf>
    <xf numFmtId="0" fontId="4" fillId="6" borderId="10" xfId="2" applyFont="1" applyBorder="1" applyAlignment="1">
      <alignment horizontal="center" vertical="center"/>
    </xf>
    <xf numFmtId="0" fontId="4" fillId="6" borderId="11" xfId="2" applyFont="1" applyBorder="1" applyAlignment="1">
      <alignment horizontal="center"/>
    </xf>
    <xf numFmtId="0" fontId="4" fillId="6" borderId="13" xfId="2" applyFont="1" applyBorder="1" applyAlignment="1">
      <alignment horizontal="center"/>
    </xf>
    <xf numFmtId="0" fontId="2" fillId="6" borderId="11" xfId="2" applyFont="1" applyBorder="1" applyAlignment="1">
      <alignment horizontal="center" vertical="center"/>
    </xf>
    <xf numFmtId="0" fontId="2" fillId="7" borderId="14" xfId="3" applyFont="1" applyBorder="1" applyAlignment="1">
      <alignment horizontal="center"/>
    </xf>
    <xf numFmtId="0" fontId="2" fillId="0" borderId="2" xfId="0" applyFont="1" applyBorder="1" applyAlignment="1">
      <alignment horizontal="center" vertical="center"/>
    </xf>
    <xf numFmtId="164" fontId="4" fillId="6" borderId="5" xfId="2" applyNumberFormat="1" applyFont="1" applyBorder="1"/>
    <xf numFmtId="164" fontId="4" fillId="6" borderId="15" xfId="2" applyNumberFormat="1" applyFont="1" applyBorder="1" applyAlignment="1">
      <alignment horizontal="center"/>
    </xf>
    <xf numFmtId="0" fontId="4" fillId="6" borderId="2" xfId="2" applyFont="1" applyBorder="1"/>
    <xf numFmtId="0" fontId="2" fillId="6" borderId="12" xfId="2" applyFont="1" applyBorder="1" applyAlignment="1">
      <alignment horizontal="center"/>
    </xf>
    <xf numFmtId="0" fontId="2" fillId="6" borderId="7" xfId="2" applyFont="1" applyBorder="1" applyAlignment="1">
      <alignment horizontal="center"/>
    </xf>
    <xf numFmtId="0" fontId="2" fillId="6" borderId="3" xfId="2" applyFont="1" applyBorder="1" applyAlignment="1">
      <alignment horizontal="center"/>
    </xf>
    <xf numFmtId="0" fontId="2" fillId="6" borderId="6" xfId="2" applyFont="1" applyBorder="1" applyAlignment="1">
      <alignment horizontal="center"/>
    </xf>
    <xf numFmtId="0" fontId="4" fillId="6" borderId="11" xfId="2" applyFont="1" applyBorder="1" applyAlignment="1">
      <alignment horizontal="center" vertical="center"/>
    </xf>
    <xf numFmtId="0" fontId="2" fillId="6" borderId="13" xfId="2" applyFont="1" applyBorder="1" applyAlignment="1">
      <alignment horizontal="center" vertical="center"/>
    </xf>
    <xf numFmtId="0" fontId="2" fillId="6" borderId="10" xfId="2" applyFont="1" applyBorder="1" applyAlignment="1">
      <alignment horizontal="center" vertical="center"/>
    </xf>
    <xf numFmtId="0" fontId="2" fillId="4" borderId="11" xfId="0" applyFont="1" applyFill="1" applyBorder="1" applyAlignment="1">
      <alignment horizontal="center" vertical="center"/>
    </xf>
    <xf numFmtId="0" fontId="2" fillId="3" borderId="11" xfId="0" applyFont="1" applyFill="1" applyBorder="1" applyAlignment="1">
      <alignment horizontal="center"/>
    </xf>
    <xf numFmtId="0" fontId="2" fillId="4" borderId="15" xfId="0" applyFont="1" applyFill="1" applyBorder="1" applyAlignment="1">
      <alignment horizontal="center" vertical="center"/>
    </xf>
    <xf numFmtId="0" fontId="2" fillId="3" borderId="15" xfId="0" applyFont="1" applyFill="1" applyBorder="1" applyAlignment="1">
      <alignment horizontal="center"/>
    </xf>
    <xf numFmtId="0" fontId="2" fillId="3" borderId="19" xfId="0" applyFont="1" applyFill="1" applyBorder="1" applyAlignment="1">
      <alignment horizontal="center" wrapText="1"/>
    </xf>
    <xf numFmtId="0" fontId="2" fillId="3" borderId="13" xfId="0" applyFont="1" applyFill="1" applyBorder="1" applyAlignment="1">
      <alignment horizontal="center" wrapText="1"/>
    </xf>
    <xf numFmtId="0" fontId="2" fillId="3" borderId="18" xfId="0" applyFont="1" applyFill="1" applyBorder="1" applyAlignment="1">
      <alignment horizontal="center" wrapText="1"/>
    </xf>
    <xf numFmtId="0" fontId="2" fillId="3" borderId="10" xfId="0" applyFont="1" applyFill="1" applyBorder="1" applyAlignment="1">
      <alignment horizontal="center" wrapText="1"/>
    </xf>
    <xf numFmtId="0" fontId="2" fillId="2" borderId="18" xfId="0" applyFont="1" applyFill="1" applyBorder="1" applyAlignment="1">
      <alignment horizontal="center" vertical="center"/>
    </xf>
    <xf numFmtId="44" fontId="0" fillId="0" borderId="0" xfId="4" applyFont="1"/>
    <xf numFmtId="0" fontId="0" fillId="0" borderId="0" xfId="0" applyAlignment="1">
      <alignment horizontal="center"/>
    </xf>
    <xf numFmtId="44" fontId="0" fillId="0" borderId="0" xfId="0" applyNumberFormat="1"/>
    <xf numFmtId="0" fontId="0" fillId="0" borderId="0" xfId="0" pivotButton="1"/>
    <xf numFmtId="0" fontId="0" fillId="0" borderId="0" xfId="0" applyAlignment="1">
      <alignment horizontal="left"/>
    </xf>
    <xf numFmtId="0" fontId="7" fillId="0" borderId="0" xfId="0" applyFont="1"/>
    <xf numFmtId="0" fontId="0" fillId="0" borderId="30" xfId="0" applyBorder="1"/>
    <xf numFmtId="0" fontId="0" fillId="0" borderId="32" xfId="0" applyBorder="1"/>
    <xf numFmtId="0" fontId="0" fillId="0" borderId="31" xfId="0" applyBorder="1"/>
    <xf numFmtId="0" fontId="14" fillId="8" borderId="21" xfId="0" applyFont="1" applyFill="1" applyBorder="1" applyAlignment="1">
      <alignment horizontal="center" vertical="center"/>
    </xf>
    <xf numFmtId="0" fontId="10" fillId="8" borderId="30" xfId="0" applyFont="1" applyFill="1" applyBorder="1" applyAlignment="1">
      <alignment horizontal="center"/>
    </xf>
    <xf numFmtId="0" fontId="10" fillId="8" borderId="31" xfId="0" applyFont="1" applyFill="1" applyBorder="1" applyAlignment="1">
      <alignment horizontal="center"/>
    </xf>
    <xf numFmtId="0" fontId="10" fillId="8" borderId="32" xfId="0" applyFont="1" applyFill="1" applyBorder="1" applyAlignment="1">
      <alignment horizontal="center"/>
    </xf>
    <xf numFmtId="0" fontId="8" fillId="9" borderId="37" xfId="0" applyFont="1" applyFill="1" applyBorder="1" applyAlignment="1">
      <alignment horizontal="center"/>
    </xf>
    <xf numFmtId="0" fontId="8" fillId="9" borderId="0" xfId="0" applyFont="1" applyFill="1" applyAlignment="1">
      <alignment horizontal="center"/>
    </xf>
    <xf numFmtId="0" fontId="2" fillId="6" borderId="1" xfId="2" applyFont="1" applyBorder="1" applyAlignment="1">
      <alignment horizontal="center"/>
    </xf>
    <xf numFmtId="0" fontId="2" fillId="6" borderId="2" xfId="2" applyFont="1" applyBorder="1" applyAlignment="1">
      <alignment horizontal="center"/>
    </xf>
    <xf numFmtId="0" fontId="5" fillId="5" borderId="8" xfId="1" applyFont="1" applyBorder="1" applyAlignment="1">
      <alignment horizontal="center"/>
    </xf>
    <xf numFmtId="0" fontId="5" fillId="5" borderId="9" xfId="1" applyFont="1" applyBorder="1" applyAlignment="1">
      <alignment horizontal="center"/>
    </xf>
    <xf numFmtId="0" fontId="5" fillId="5" borderId="16" xfId="1" applyFont="1" applyBorder="1" applyAlignment="1">
      <alignment horizontal="center"/>
    </xf>
    <xf numFmtId="0" fontId="5" fillId="5" borderId="17" xfId="1" applyFont="1" applyBorder="1" applyAlignment="1">
      <alignment horizontal="center"/>
    </xf>
    <xf numFmtId="0" fontId="13" fillId="9" borderId="24" xfId="0" applyFont="1" applyFill="1" applyBorder="1" applyAlignment="1">
      <alignment horizontal="center"/>
    </xf>
    <xf numFmtId="0" fontId="13" fillId="9" borderId="25" xfId="0" applyFont="1" applyFill="1" applyBorder="1" applyAlignment="1">
      <alignment horizontal="center"/>
    </xf>
    <xf numFmtId="0" fontId="13" fillId="9" borderId="26" xfId="0" applyFont="1" applyFill="1" applyBorder="1" applyAlignment="1">
      <alignment horizontal="center"/>
    </xf>
    <xf numFmtId="0" fontId="10" fillId="10" borderId="37" xfId="0" applyFont="1" applyFill="1" applyBorder="1" applyAlignment="1">
      <alignment horizontal="center" wrapText="1"/>
    </xf>
    <xf numFmtId="0" fontId="10" fillId="10" borderId="0" xfId="0" applyFont="1" applyFill="1" applyAlignment="1">
      <alignment horizontal="center" wrapText="1"/>
    </xf>
    <xf numFmtId="0" fontId="10" fillId="10" borderId="36" xfId="0" applyFont="1" applyFill="1" applyBorder="1" applyAlignment="1">
      <alignment horizontal="center" wrapText="1"/>
    </xf>
    <xf numFmtId="0" fontId="10" fillId="10" borderId="27" xfId="0" applyFont="1" applyFill="1" applyBorder="1" applyAlignment="1">
      <alignment horizontal="center" wrapText="1"/>
    </xf>
    <xf numFmtId="0" fontId="10" fillId="10" borderId="28" xfId="0" applyFont="1" applyFill="1" applyBorder="1" applyAlignment="1">
      <alignment horizontal="center" wrapText="1"/>
    </xf>
    <xf numFmtId="0" fontId="10" fillId="10" borderId="29" xfId="0" applyFont="1" applyFill="1" applyBorder="1" applyAlignment="1">
      <alignment horizontal="center" wrapText="1"/>
    </xf>
    <xf numFmtId="44" fontId="11" fillId="8" borderId="24" xfId="0" applyNumberFormat="1" applyFont="1" applyFill="1" applyBorder="1" applyAlignment="1">
      <alignment vertical="center" wrapText="1"/>
    </xf>
    <xf numFmtId="0" fontId="11" fillId="8" borderId="25" xfId="0" applyFont="1" applyFill="1" applyBorder="1" applyAlignment="1">
      <alignment vertical="center" wrapText="1"/>
    </xf>
    <xf numFmtId="0" fontId="11" fillId="8" borderId="26" xfId="0" applyFont="1" applyFill="1" applyBorder="1" applyAlignment="1">
      <alignment vertical="center" wrapText="1"/>
    </xf>
    <xf numFmtId="9" fontId="11" fillId="8" borderId="24" xfId="5" applyFont="1" applyFill="1" applyBorder="1" applyAlignment="1">
      <alignment horizontal="center" vertical="center" wrapText="1"/>
    </xf>
    <xf numFmtId="9" fontId="11" fillId="8" borderId="25" xfId="5" applyFont="1" applyFill="1" applyBorder="1" applyAlignment="1">
      <alignment horizontal="center" vertical="center" wrapText="1"/>
    </xf>
    <xf numFmtId="9" fontId="11" fillId="8" borderId="26" xfId="5" applyFont="1" applyFill="1" applyBorder="1" applyAlignment="1">
      <alignment horizontal="center" vertical="center" wrapText="1"/>
    </xf>
    <xf numFmtId="44" fontId="11" fillId="8" borderId="24" xfId="0" applyNumberFormat="1" applyFont="1" applyFill="1" applyBorder="1" applyAlignment="1">
      <alignment horizontal="center" vertical="center" wrapText="1"/>
    </xf>
    <xf numFmtId="0" fontId="11" fillId="8" borderId="25" xfId="0" applyFont="1" applyFill="1" applyBorder="1" applyAlignment="1">
      <alignment horizontal="center" vertical="center" wrapText="1"/>
    </xf>
    <xf numFmtId="0" fontId="11" fillId="8" borderId="26" xfId="0" applyFont="1" applyFill="1" applyBorder="1" applyAlignment="1">
      <alignment horizontal="center" vertical="center" wrapText="1"/>
    </xf>
    <xf numFmtId="44" fontId="10" fillId="10" borderId="38" xfId="0" applyNumberFormat="1" applyFont="1" applyFill="1" applyBorder="1" applyAlignment="1">
      <alignment horizontal="center" wrapText="1"/>
    </xf>
    <xf numFmtId="44" fontId="10" fillId="10" borderId="39" xfId="0" applyNumberFormat="1" applyFont="1" applyFill="1" applyBorder="1" applyAlignment="1">
      <alignment horizontal="center" wrapText="1"/>
    </xf>
    <xf numFmtId="44" fontId="10" fillId="10" borderId="40" xfId="0" applyNumberFormat="1" applyFont="1" applyFill="1" applyBorder="1" applyAlignment="1">
      <alignment horizontal="center" wrapText="1"/>
    </xf>
    <xf numFmtId="44" fontId="10" fillId="10" borderId="33" xfId="0" applyNumberFormat="1" applyFont="1" applyFill="1" applyBorder="1" applyAlignment="1">
      <alignment horizontal="center" wrapText="1"/>
    </xf>
    <xf numFmtId="44" fontId="10" fillId="10" borderId="34" xfId="0" applyNumberFormat="1" applyFont="1" applyFill="1" applyBorder="1" applyAlignment="1">
      <alignment horizontal="center" wrapText="1"/>
    </xf>
    <xf numFmtId="44" fontId="10" fillId="10" borderId="35" xfId="0" applyNumberFormat="1" applyFont="1" applyFill="1" applyBorder="1" applyAlignment="1">
      <alignment horizontal="center" wrapText="1"/>
    </xf>
    <xf numFmtId="0" fontId="10" fillId="10" borderId="38" xfId="0" applyFont="1" applyFill="1" applyBorder="1" applyAlignment="1">
      <alignment horizontal="center" wrapText="1"/>
    </xf>
    <xf numFmtId="0" fontId="10" fillId="10" borderId="39" xfId="0" applyFont="1" applyFill="1" applyBorder="1" applyAlignment="1">
      <alignment horizontal="center" wrapText="1"/>
    </xf>
    <xf numFmtId="0" fontId="10" fillId="10" borderId="40" xfId="0" applyFont="1" applyFill="1" applyBorder="1" applyAlignment="1">
      <alignment horizontal="center" wrapText="1"/>
    </xf>
    <xf numFmtId="0" fontId="10" fillId="10" borderId="22" xfId="0" applyFont="1" applyFill="1" applyBorder="1" applyAlignment="1">
      <alignment horizontal="center" wrapText="1"/>
    </xf>
    <xf numFmtId="0" fontId="10" fillId="10" borderId="20" xfId="0" applyFont="1" applyFill="1" applyBorder="1" applyAlignment="1">
      <alignment horizontal="center" wrapText="1"/>
    </xf>
    <xf numFmtId="0" fontId="10" fillId="10" borderId="23" xfId="0" applyFont="1" applyFill="1" applyBorder="1" applyAlignment="1">
      <alignment horizontal="center" wrapText="1"/>
    </xf>
    <xf numFmtId="44" fontId="11" fillId="8" borderId="30" xfId="0" applyNumberFormat="1" applyFont="1" applyFill="1" applyBorder="1" applyAlignment="1">
      <alignment horizontal="center" vertical="center" wrapText="1"/>
    </xf>
    <xf numFmtId="0" fontId="11" fillId="8" borderId="31" xfId="0" applyFont="1" applyFill="1" applyBorder="1" applyAlignment="1">
      <alignment horizontal="center" vertical="center" wrapText="1"/>
    </xf>
    <xf numFmtId="0" fontId="11" fillId="8" borderId="32" xfId="0" applyFont="1" applyFill="1" applyBorder="1" applyAlignment="1">
      <alignment horizontal="center" vertical="center" wrapText="1"/>
    </xf>
    <xf numFmtId="0" fontId="10" fillId="10" borderId="37" xfId="0" applyFont="1" applyFill="1" applyBorder="1" applyAlignment="1">
      <alignment horizontal="center"/>
    </xf>
    <xf numFmtId="0" fontId="10" fillId="10" borderId="0" xfId="0" applyFont="1" applyFill="1" applyAlignment="1">
      <alignment horizontal="center"/>
    </xf>
    <xf numFmtId="0" fontId="12" fillId="10" borderId="30" xfId="0" applyFont="1" applyFill="1" applyBorder="1" applyAlignment="1">
      <alignment horizontal="center"/>
    </xf>
    <xf numFmtId="0" fontId="12" fillId="10" borderId="32" xfId="0" applyFont="1" applyFill="1" applyBorder="1" applyAlignment="1">
      <alignment horizontal="center"/>
    </xf>
    <xf numFmtId="9" fontId="11" fillId="8" borderId="30" xfId="5" applyFont="1" applyFill="1" applyBorder="1" applyAlignment="1">
      <alignment horizontal="center" vertical="center" wrapText="1"/>
    </xf>
    <xf numFmtId="9" fontId="11" fillId="8" borderId="31" xfId="5" applyFont="1" applyFill="1" applyBorder="1" applyAlignment="1">
      <alignment horizontal="center" vertical="center" wrapText="1"/>
    </xf>
    <xf numFmtId="9" fontId="11" fillId="8" borderId="32" xfId="5" applyFont="1" applyFill="1" applyBorder="1" applyAlignment="1">
      <alignment horizontal="center" vertical="center" wrapText="1"/>
    </xf>
    <xf numFmtId="44" fontId="10" fillId="10" borderId="37" xfId="0" applyNumberFormat="1" applyFont="1" applyFill="1" applyBorder="1" applyAlignment="1">
      <alignment horizontal="center" wrapText="1"/>
    </xf>
    <xf numFmtId="44" fontId="10" fillId="10" borderId="0" xfId="0" applyNumberFormat="1" applyFont="1" applyFill="1" applyAlignment="1">
      <alignment horizontal="center" wrapText="1"/>
    </xf>
    <xf numFmtId="44" fontId="10" fillId="10" borderId="36" xfId="0" applyNumberFormat="1" applyFont="1" applyFill="1" applyBorder="1" applyAlignment="1">
      <alignment horizontal="center" wrapText="1"/>
    </xf>
    <xf numFmtId="44" fontId="10" fillId="10" borderId="27" xfId="0" applyNumberFormat="1" applyFont="1" applyFill="1" applyBorder="1" applyAlignment="1">
      <alignment horizontal="center" wrapText="1"/>
    </xf>
    <xf numFmtId="44" fontId="10" fillId="10" borderId="28" xfId="0" applyNumberFormat="1" applyFont="1" applyFill="1" applyBorder="1" applyAlignment="1">
      <alignment horizontal="center" wrapText="1"/>
    </xf>
    <xf numFmtId="44" fontId="10" fillId="10" borderId="29" xfId="0" applyNumberFormat="1" applyFont="1" applyFill="1" applyBorder="1" applyAlignment="1">
      <alignment horizontal="center" wrapText="1"/>
    </xf>
    <xf numFmtId="0" fontId="15" fillId="9" borderId="24" xfId="0" applyFont="1" applyFill="1" applyBorder="1" applyAlignment="1">
      <alignment horizontal="center"/>
    </xf>
    <xf numFmtId="0" fontId="15" fillId="9" borderId="25" xfId="0" applyFont="1" applyFill="1" applyBorder="1" applyAlignment="1">
      <alignment horizontal="center"/>
    </xf>
    <xf numFmtId="0" fontId="15" fillId="9" borderId="27" xfId="0" applyFont="1" applyFill="1" applyBorder="1" applyAlignment="1">
      <alignment horizontal="center"/>
    </xf>
    <xf numFmtId="0" fontId="15" fillId="9" borderId="28" xfId="0" applyFont="1" applyFill="1" applyBorder="1" applyAlignment="1">
      <alignment horizontal="center"/>
    </xf>
  </cellXfs>
  <cellStyles count="6">
    <cellStyle name="20% - Accent3" xfId="2" builtinId="38"/>
    <cellStyle name="60% - Accent3" xfId="3" builtinId="40"/>
    <cellStyle name="Currency" xfId="4" builtinId="4"/>
    <cellStyle name="Good" xfId="1" builtinId="26"/>
    <cellStyle name="Normal" xfId="0" builtinId="0"/>
    <cellStyle name="Percent" xfId="5" builtinId="5"/>
  </cellStyles>
  <dxfs count="3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2"/>
        <color theme="1"/>
        <name val="Times New Roman"/>
        <family val="1"/>
        <scheme val="none"/>
      </font>
      <numFmt numFmtId="12" formatCode="&quot;$&quot;#,##0.00_);[Red]\(&quot;$&quot;#,##0.00\)"/>
      <fill>
        <patternFill patternType="solid">
          <fgColor indexed="64"/>
          <bgColor theme="6" tint="0.79998168889431442"/>
        </patternFill>
      </fill>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numFmt numFmtId="164" formatCode="_([$$-409]* #,##0.00_);_([$$-409]* \(#,##0.00\);_([$$-409]* &quot;-&quot;??_);_(@_)"/>
      <fill>
        <patternFill patternType="solid">
          <fgColor indexed="64"/>
          <bgColor theme="6" tint="0.79998168889431442"/>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numFmt numFmtId="12" formatCode="&quot;$&quot;#,##0.00_);[Red]\(&quot;$&quot;#,##0.00\)"/>
      <fill>
        <patternFill patternType="solid">
          <fgColor indexed="64"/>
          <bgColor theme="6"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left style="thin">
          <color rgb="FF000000"/>
        </left>
        <top style="medium">
          <color rgb="FF000000"/>
        </top>
      </border>
    </dxf>
    <dxf>
      <border outline="0">
        <bottom style="thin">
          <color rgb="FF000000"/>
        </bottom>
      </border>
    </dxf>
    <dxf>
      <font>
        <b/>
        <i val="0"/>
        <strike val="0"/>
        <condense val="0"/>
        <extend val="0"/>
        <outline val="0"/>
        <shadow val="0"/>
        <u val="none"/>
        <vertAlign val="baseline"/>
        <sz val="12"/>
        <color theme="1"/>
        <name val="Times New Roman"/>
        <family val="1"/>
        <scheme val="none"/>
      </font>
      <fill>
        <patternFill patternType="solid">
          <fgColor indexed="64"/>
          <bgColor theme="6" tint="0.39997558519241921"/>
        </patternFill>
      </fill>
      <alignment horizontal="center" vertical="center" textRotation="0" wrapText="0" indent="0" justifyLastLine="0" shrinkToFit="0" readingOrder="0"/>
    </dxf>
    <dxf>
      <border outline="0">
        <left style="thin">
          <color rgb="FF000000"/>
        </left>
        <right style="thin">
          <color rgb="FF000000"/>
        </right>
        <top style="medium">
          <color rgb="FF000000"/>
        </top>
        <bottom style="thin">
          <color rgb="FF000000"/>
        </bottom>
      </border>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Aptos Narrow"/>
        <family val="2"/>
        <scheme val="minor"/>
      </font>
    </dxf>
    <dxf>
      <alignment horizontal="center" vertical="bottom" textRotation="0" wrapText="0" indent="0" justifyLastLine="0" shrinkToFit="0" readingOrder="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Medium9"/>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lgn="ctr" rtl="0">
              <a:defRPr lang="en-US" sz="1400" b="1" i="0" u="none" strike="noStrike" kern="1200" cap="all" spc="50" baseline="0">
                <a:solidFill>
                  <a:sysClr val="windowText" lastClr="000000"/>
                </a:solidFill>
                <a:latin typeface="+mn-lt"/>
                <a:ea typeface="+mn-ea"/>
                <a:cs typeface="+mn-cs"/>
              </a:defRPr>
            </a:pPr>
            <a:r>
              <a:rPr lang="en-US" sz="1400" b="1" i="0" u="none" strike="noStrike" kern="1200" cap="all" spc="50" baseline="0">
                <a:solidFill>
                  <a:sysClr val="windowText" lastClr="000000"/>
                </a:solidFill>
                <a:latin typeface="+mn-lt"/>
                <a:ea typeface="+mn-ea"/>
                <a:cs typeface="+mn-cs"/>
              </a:rPr>
              <a:t>Savings Trend</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Pt>
            <c:idx val="6"/>
            <c:marker>
              <c:symbol val="circle"/>
              <c:size val="6"/>
              <c:spPr>
                <a:solidFill>
                  <a:srgbClr val="FF0000"/>
                </a:solidFill>
                <a:ln w="12700">
                  <a:solidFill>
                    <a:schemeClr val="lt2"/>
                  </a:solidFill>
                  <a:round/>
                </a:ln>
                <a:effectLst/>
              </c:spPr>
            </c:marker>
            <c:bubble3D val="0"/>
            <c:extLst>
              <c:ext xmlns:c16="http://schemas.microsoft.com/office/drawing/2014/chart" uri="{C3380CC4-5D6E-409C-BE32-E72D297353CC}">
                <c16:uniqueId val="{00000001-B0FF-4414-8367-FDE533A7193E}"/>
              </c:ext>
            </c:extLst>
          </c:dPt>
          <c:cat>
            <c:strRef>
              <c:f>Data!$A$16:$A$26</c:f>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f>Data!$K$16:$K$26</c:f>
              <c:numCache>
                <c:formatCode>_("$"* #,##0.00_);_("$"* \(#,##0.00\);_("$"* "-"??_);_(@_)</c:formatCode>
                <c:ptCount val="11"/>
                <c:pt idx="0">
                  <c:v>1392.44</c:v>
                </c:pt>
                <c:pt idx="1">
                  <c:v>1412.44</c:v>
                </c:pt>
                <c:pt idx="2">
                  <c:v>1467.44</c:v>
                </c:pt>
                <c:pt idx="3">
                  <c:v>1432.44</c:v>
                </c:pt>
                <c:pt idx="4">
                  <c:v>1567.44</c:v>
                </c:pt>
                <c:pt idx="5">
                  <c:v>1432.44</c:v>
                </c:pt>
                <c:pt idx="6">
                  <c:v>-7.5599999999999454</c:v>
                </c:pt>
                <c:pt idx="7">
                  <c:v>1337.44</c:v>
                </c:pt>
                <c:pt idx="8">
                  <c:v>1467.44</c:v>
                </c:pt>
                <c:pt idx="9">
                  <c:v>1492.44</c:v>
                </c:pt>
                <c:pt idx="10">
                  <c:v>1352.44</c:v>
                </c:pt>
              </c:numCache>
            </c:numRef>
          </c:val>
          <c:smooth val="0"/>
          <c:extLst>
            <c:ext xmlns:c16="http://schemas.microsoft.com/office/drawing/2014/chart" uri="{C3380CC4-5D6E-409C-BE32-E72D297353CC}">
              <c16:uniqueId val="{00000000-B0FF-4414-8367-FDE533A7193E}"/>
            </c:ext>
          </c:extLst>
        </c:ser>
        <c:dLbls>
          <c:showLegendKey val="0"/>
          <c:showVal val="0"/>
          <c:showCatName val="0"/>
          <c:showSerName val="0"/>
          <c:showPercent val="0"/>
          <c:showBubbleSize val="0"/>
        </c:dLbls>
        <c:marker val="1"/>
        <c:smooth val="0"/>
        <c:axId val="134169184"/>
        <c:axId val="932591072"/>
      </c:lineChart>
      <c:catAx>
        <c:axId val="13416918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32591072"/>
        <c:crosses val="autoZero"/>
        <c:auto val="1"/>
        <c:lblAlgn val="ctr"/>
        <c:lblOffset val="100"/>
        <c:noMultiLvlLbl val="0"/>
      </c:catAx>
      <c:valAx>
        <c:axId val="932591072"/>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416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strRef>
          <c:f>Data!$A$15</c:f>
          <c:strCache>
            <c:ptCount val="1"/>
            <c:pt idx="0">
              <c:v>Monthly Expenses</c:v>
            </c:pt>
          </c:strCache>
        </c:strRef>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Data!$B$15</c:f>
              <c:strCache>
                <c:ptCount val="1"/>
                <c:pt idx="0">
                  <c:v>Electricity Bill</c:v>
                </c:pt>
              </c:strCache>
            </c:strRef>
          </c:tx>
          <c:spPr>
            <a:pattFill prst="narHorz">
              <a:fgClr>
                <a:schemeClr val="accent1">
                  <a:shade val="42000"/>
                </a:schemeClr>
              </a:fgClr>
              <a:bgClr>
                <a:schemeClr val="accent1">
                  <a:shade val="42000"/>
                  <a:lumMod val="20000"/>
                  <a:lumOff val="80000"/>
                </a:schemeClr>
              </a:bgClr>
            </a:pattFill>
            <a:ln>
              <a:noFill/>
            </a:ln>
            <a:effectLst>
              <a:innerShdw blurRad="114300">
                <a:schemeClr val="accent1">
                  <a:shade val="42000"/>
                </a:schemeClr>
              </a:innerShdw>
            </a:effectLst>
          </c:spPr>
          <c:invertIfNegative val="0"/>
          <c:cat>
            <c:strRef>
              <c:f>Data!$A$16:$A$26</c:f>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f>Data!$B$16:$B$26</c:f>
              <c:numCache>
                <c:formatCode>_("$"* #,##0.00_);_("$"* \(#,##0.00\);_("$"* "-"??_);_(@_)</c:formatCode>
                <c:ptCount val="11"/>
                <c:pt idx="0">
                  <c:v>160</c:v>
                </c:pt>
                <c:pt idx="1">
                  <c:v>160</c:v>
                </c:pt>
                <c:pt idx="2">
                  <c:v>160</c:v>
                </c:pt>
                <c:pt idx="3">
                  <c:v>150</c:v>
                </c:pt>
                <c:pt idx="4">
                  <c:v>165</c:v>
                </c:pt>
                <c:pt idx="5">
                  <c:v>140</c:v>
                </c:pt>
                <c:pt idx="6">
                  <c:v>350</c:v>
                </c:pt>
                <c:pt idx="7">
                  <c:v>160</c:v>
                </c:pt>
                <c:pt idx="8">
                  <c:v>160</c:v>
                </c:pt>
                <c:pt idx="9">
                  <c:v>150</c:v>
                </c:pt>
                <c:pt idx="10">
                  <c:v>200</c:v>
                </c:pt>
              </c:numCache>
            </c:numRef>
          </c:val>
          <c:extLst>
            <c:ext xmlns:c16="http://schemas.microsoft.com/office/drawing/2014/chart" uri="{C3380CC4-5D6E-409C-BE32-E72D297353CC}">
              <c16:uniqueId val="{00000000-7CE8-48C0-A91A-5A4B558E14A6}"/>
            </c:ext>
          </c:extLst>
        </c:ser>
        <c:ser>
          <c:idx val="1"/>
          <c:order val="1"/>
          <c:tx>
            <c:strRef>
              <c:f>Data!$C$15</c:f>
              <c:strCache>
                <c:ptCount val="1"/>
                <c:pt idx="0">
                  <c:v>Rent</c:v>
                </c:pt>
              </c:strCache>
            </c:strRef>
          </c:tx>
          <c:spPr>
            <a:pattFill prst="narHorz">
              <a:fgClr>
                <a:schemeClr val="accent1">
                  <a:shade val="55000"/>
                </a:schemeClr>
              </a:fgClr>
              <a:bgClr>
                <a:schemeClr val="accent1">
                  <a:shade val="55000"/>
                  <a:lumMod val="20000"/>
                  <a:lumOff val="80000"/>
                </a:schemeClr>
              </a:bgClr>
            </a:pattFill>
            <a:ln>
              <a:noFill/>
            </a:ln>
            <a:effectLst>
              <a:innerShdw blurRad="114300">
                <a:schemeClr val="accent1">
                  <a:shade val="55000"/>
                </a:schemeClr>
              </a:innerShdw>
            </a:effectLst>
          </c:spPr>
          <c:invertIfNegative val="0"/>
          <c:cat>
            <c:strRef>
              <c:f>Data!$A$16:$A$26</c:f>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f>Data!$C$16:$C$26</c:f>
              <c:numCache>
                <c:formatCode>_("$"* #,##0.00_);_("$"* \(#,##0.00\);_("$"* "-"??_);_(@_)</c:formatCode>
                <c:ptCount val="11"/>
                <c:pt idx="0">
                  <c:v>1676</c:v>
                </c:pt>
                <c:pt idx="1">
                  <c:v>1676</c:v>
                </c:pt>
                <c:pt idx="2">
                  <c:v>1676</c:v>
                </c:pt>
                <c:pt idx="3">
                  <c:v>1676</c:v>
                </c:pt>
                <c:pt idx="4">
                  <c:v>1676</c:v>
                </c:pt>
                <c:pt idx="5">
                  <c:v>1676</c:v>
                </c:pt>
                <c:pt idx="6">
                  <c:v>1676</c:v>
                </c:pt>
                <c:pt idx="7">
                  <c:v>1676</c:v>
                </c:pt>
                <c:pt idx="8">
                  <c:v>1676</c:v>
                </c:pt>
                <c:pt idx="9">
                  <c:v>1676</c:v>
                </c:pt>
                <c:pt idx="10">
                  <c:v>1676</c:v>
                </c:pt>
              </c:numCache>
            </c:numRef>
          </c:val>
          <c:extLst>
            <c:ext xmlns:c16="http://schemas.microsoft.com/office/drawing/2014/chart" uri="{C3380CC4-5D6E-409C-BE32-E72D297353CC}">
              <c16:uniqueId val="{00000001-7CE8-48C0-A91A-5A4B558E14A6}"/>
            </c:ext>
          </c:extLst>
        </c:ser>
        <c:ser>
          <c:idx val="2"/>
          <c:order val="2"/>
          <c:tx>
            <c:strRef>
              <c:f>Data!$D$15</c:f>
              <c:strCache>
                <c:ptCount val="1"/>
                <c:pt idx="0">
                  <c:v>Phone Bill</c:v>
                </c:pt>
              </c:strCache>
            </c:strRef>
          </c:tx>
          <c:spPr>
            <a:pattFill prst="narHorz">
              <a:fgClr>
                <a:schemeClr val="accent1">
                  <a:shade val="68000"/>
                </a:schemeClr>
              </a:fgClr>
              <a:bgClr>
                <a:schemeClr val="accent1">
                  <a:shade val="68000"/>
                  <a:lumMod val="20000"/>
                  <a:lumOff val="80000"/>
                </a:schemeClr>
              </a:bgClr>
            </a:pattFill>
            <a:ln>
              <a:noFill/>
            </a:ln>
            <a:effectLst>
              <a:innerShdw blurRad="114300">
                <a:schemeClr val="accent1">
                  <a:shade val="68000"/>
                </a:schemeClr>
              </a:innerShdw>
            </a:effectLst>
          </c:spPr>
          <c:invertIfNegative val="0"/>
          <c:cat>
            <c:strRef>
              <c:f>Data!$A$16:$A$26</c:f>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f>Data!$D$16:$D$26</c:f>
              <c:numCache>
                <c:formatCode>_("$"* #,##0.00_);_("$"* \(#,##0.00\);_("$"* "-"??_);_(@_)</c:formatCode>
                <c:ptCount val="11"/>
                <c:pt idx="0">
                  <c:v>45</c:v>
                </c:pt>
                <c:pt idx="1">
                  <c:v>45</c:v>
                </c:pt>
                <c:pt idx="2">
                  <c:v>45</c:v>
                </c:pt>
                <c:pt idx="3">
                  <c:v>45</c:v>
                </c:pt>
                <c:pt idx="4">
                  <c:v>55</c:v>
                </c:pt>
                <c:pt idx="5">
                  <c:v>45</c:v>
                </c:pt>
                <c:pt idx="6">
                  <c:v>100</c:v>
                </c:pt>
                <c:pt idx="7">
                  <c:v>45</c:v>
                </c:pt>
                <c:pt idx="8">
                  <c:v>45</c:v>
                </c:pt>
                <c:pt idx="9">
                  <c:v>45</c:v>
                </c:pt>
                <c:pt idx="10">
                  <c:v>45</c:v>
                </c:pt>
              </c:numCache>
            </c:numRef>
          </c:val>
          <c:extLst>
            <c:ext xmlns:c16="http://schemas.microsoft.com/office/drawing/2014/chart" uri="{C3380CC4-5D6E-409C-BE32-E72D297353CC}">
              <c16:uniqueId val="{00000002-7CE8-48C0-A91A-5A4B558E14A6}"/>
            </c:ext>
          </c:extLst>
        </c:ser>
        <c:ser>
          <c:idx val="3"/>
          <c:order val="3"/>
          <c:tx>
            <c:strRef>
              <c:f>Data!$E$15</c:f>
              <c:strCache>
                <c:ptCount val="1"/>
                <c:pt idx="0">
                  <c:v>Car Insurance</c:v>
                </c:pt>
              </c:strCache>
            </c:strRef>
          </c:tx>
          <c:spPr>
            <a:pattFill prst="narHorz">
              <a:fgClr>
                <a:schemeClr val="accent1">
                  <a:shade val="80000"/>
                </a:schemeClr>
              </a:fgClr>
              <a:bgClr>
                <a:schemeClr val="accent1">
                  <a:shade val="80000"/>
                  <a:lumMod val="20000"/>
                  <a:lumOff val="80000"/>
                </a:schemeClr>
              </a:bgClr>
            </a:pattFill>
            <a:ln>
              <a:noFill/>
            </a:ln>
            <a:effectLst>
              <a:innerShdw blurRad="114300">
                <a:schemeClr val="accent1">
                  <a:shade val="80000"/>
                </a:schemeClr>
              </a:innerShdw>
            </a:effectLst>
          </c:spPr>
          <c:invertIfNegative val="0"/>
          <c:cat>
            <c:strRef>
              <c:f>Data!$A$16:$A$26</c:f>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f>Data!$E$16:$E$26</c:f>
              <c:numCache>
                <c:formatCode>_("$"* #,##0.00_);_("$"* \(#,##0.00\);_("$"* "-"??_);_(@_)</c:formatCode>
                <c:ptCount val="11"/>
                <c:pt idx="0">
                  <c:v>105</c:v>
                </c:pt>
                <c:pt idx="1">
                  <c:v>105</c:v>
                </c:pt>
                <c:pt idx="2">
                  <c:v>105</c:v>
                </c:pt>
                <c:pt idx="3">
                  <c:v>120</c:v>
                </c:pt>
                <c:pt idx="4">
                  <c:v>120</c:v>
                </c:pt>
                <c:pt idx="5">
                  <c:v>105</c:v>
                </c:pt>
                <c:pt idx="6">
                  <c:v>150</c:v>
                </c:pt>
                <c:pt idx="7">
                  <c:v>105</c:v>
                </c:pt>
                <c:pt idx="8">
                  <c:v>105</c:v>
                </c:pt>
                <c:pt idx="9">
                  <c:v>105</c:v>
                </c:pt>
                <c:pt idx="10">
                  <c:v>105</c:v>
                </c:pt>
              </c:numCache>
            </c:numRef>
          </c:val>
          <c:extLst>
            <c:ext xmlns:c16="http://schemas.microsoft.com/office/drawing/2014/chart" uri="{C3380CC4-5D6E-409C-BE32-E72D297353CC}">
              <c16:uniqueId val="{00000003-7CE8-48C0-A91A-5A4B558E14A6}"/>
            </c:ext>
          </c:extLst>
        </c:ser>
        <c:ser>
          <c:idx val="4"/>
          <c:order val="4"/>
          <c:tx>
            <c:strRef>
              <c:f>Data!$F$15</c:f>
              <c:strCache>
                <c:ptCount val="1"/>
                <c:pt idx="0">
                  <c:v>Water Bill</c:v>
                </c:pt>
              </c:strCache>
            </c:strRef>
          </c:tx>
          <c:spPr>
            <a:pattFill prst="narHorz">
              <a:fgClr>
                <a:schemeClr val="accent1">
                  <a:shade val="93000"/>
                </a:schemeClr>
              </a:fgClr>
              <a:bgClr>
                <a:schemeClr val="accent1">
                  <a:shade val="93000"/>
                  <a:lumMod val="20000"/>
                  <a:lumOff val="80000"/>
                </a:schemeClr>
              </a:bgClr>
            </a:pattFill>
            <a:ln>
              <a:noFill/>
            </a:ln>
            <a:effectLst>
              <a:innerShdw blurRad="114300">
                <a:schemeClr val="accent1">
                  <a:shade val="93000"/>
                </a:schemeClr>
              </a:innerShdw>
            </a:effectLst>
          </c:spPr>
          <c:invertIfNegative val="0"/>
          <c:cat>
            <c:strRef>
              <c:f>Data!$A$16:$A$26</c:f>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f>Data!$F$16:$F$26</c:f>
              <c:numCache>
                <c:formatCode>_("$"* #,##0.00_);_("$"* \(#,##0.00\);_("$"* "-"??_);_(@_)</c:formatCode>
                <c:ptCount val="11"/>
                <c:pt idx="0">
                  <c:v>90</c:v>
                </c:pt>
                <c:pt idx="1">
                  <c:v>90</c:v>
                </c:pt>
                <c:pt idx="2">
                  <c:v>85</c:v>
                </c:pt>
                <c:pt idx="3">
                  <c:v>85</c:v>
                </c:pt>
                <c:pt idx="4">
                  <c:v>85</c:v>
                </c:pt>
                <c:pt idx="5">
                  <c:v>90</c:v>
                </c:pt>
                <c:pt idx="6">
                  <c:v>240</c:v>
                </c:pt>
                <c:pt idx="7">
                  <c:v>95</c:v>
                </c:pt>
                <c:pt idx="8">
                  <c:v>90</c:v>
                </c:pt>
                <c:pt idx="9">
                  <c:v>90</c:v>
                </c:pt>
                <c:pt idx="10">
                  <c:v>90</c:v>
                </c:pt>
              </c:numCache>
            </c:numRef>
          </c:val>
          <c:extLst>
            <c:ext xmlns:c16="http://schemas.microsoft.com/office/drawing/2014/chart" uri="{C3380CC4-5D6E-409C-BE32-E72D297353CC}">
              <c16:uniqueId val="{00000004-7CE8-48C0-A91A-5A4B558E14A6}"/>
            </c:ext>
          </c:extLst>
        </c:ser>
        <c:ser>
          <c:idx val="5"/>
          <c:order val="5"/>
          <c:tx>
            <c:strRef>
              <c:f>Data!$G$15</c:f>
              <c:strCache>
                <c:ptCount val="1"/>
                <c:pt idx="0">
                  <c:v>Grocery Bill</c:v>
                </c:pt>
              </c:strCache>
            </c:strRef>
          </c:tx>
          <c:spPr>
            <a:pattFill prst="narHorz">
              <a:fgClr>
                <a:schemeClr val="accent1">
                  <a:tint val="94000"/>
                </a:schemeClr>
              </a:fgClr>
              <a:bgClr>
                <a:schemeClr val="accent1">
                  <a:tint val="94000"/>
                  <a:lumMod val="20000"/>
                  <a:lumOff val="80000"/>
                </a:schemeClr>
              </a:bgClr>
            </a:pattFill>
            <a:ln>
              <a:noFill/>
            </a:ln>
            <a:effectLst>
              <a:innerShdw blurRad="114300">
                <a:schemeClr val="accent1">
                  <a:tint val="94000"/>
                </a:schemeClr>
              </a:innerShdw>
            </a:effectLst>
          </c:spPr>
          <c:invertIfNegative val="0"/>
          <c:cat>
            <c:strRef>
              <c:f>Data!$A$16:$A$26</c:f>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f>Data!$G$16:$G$26</c:f>
              <c:numCache>
                <c:formatCode>_("$"* #,##0.00_);_("$"* \(#,##0.00\);_("$"* "-"??_);_(@_)</c:formatCode>
                <c:ptCount val="11"/>
                <c:pt idx="0">
                  <c:v>170</c:v>
                </c:pt>
                <c:pt idx="1">
                  <c:v>230</c:v>
                </c:pt>
                <c:pt idx="2">
                  <c:v>200</c:v>
                </c:pt>
                <c:pt idx="3">
                  <c:v>170</c:v>
                </c:pt>
                <c:pt idx="4">
                  <c:v>170</c:v>
                </c:pt>
                <c:pt idx="5">
                  <c:v>150</c:v>
                </c:pt>
                <c:pt idx="6">
                  <c:v>560</c:v>
                </c:pt>
                <c:pt idx="7">
                  <c:v>170</c:v>
                </c:pt>
                <c:pt idx="8">
                  <c:v>140</c:v>
                </c:pt>
                <c:pt idx="9">
                  <c:v>205</c:v>
                </c:pt>
                <c:pt idx="10">
                  <c:v>170</c:v>
                </c:pt>
              </c:numCache>
            </c:numRef>
          </c:val>
          <c:extLst>
            <c:ext xmlns:c16="http://schemas.microsoft.com/office/drawing/2014/chart" uri="{C3380CC4-5D6E-409C-BE32-E72D297353CC}">
              <c16:uniqueId val="{00000005-7CE8-48C0-A91A-5A4B558E14A6}"/>
            </c:ext>
          </c:extLst>
        </c:ser>
        <c:ser>
          <c:idx val="6"/>
          <c:order val="6"/>
          <c:tx>
            <c:strRef>
              <c:f>Data!$H$15</c:f>
              <c:strCache>
                <c:ptCount val="1"/>
                <c:pt idx="0">
                  <c:v>Gas</c:v>
                </c:pt>
              </c:strCache>
            </c:strRef>
          </c:tx>
          <c:spPr>
            <a:pattFill prst="narHorz">
              <a:fgClr>
                <a:schemeClr val="accent1">
                  <a:tint val="81000"/>
                </a:schemeClr>
              </a:fgClr>
              <a:bgClr>
                <a:schemeClr val="accent1">
                  <a:tint val="81000"/>
                  <a:lumMod val="20000"/>
                  <a:lumOff val="80000"/>
                </a:schemeClr>
              </a:bgClr>
            </a:pattFill>
            <a:ln>
              <a:noFill/>
            </a:ln>
            <a:effectLst>
              <a:innerShdw blurRad="114300">
                <a:schemeClr val="accent1">
                  <a:tint val="81000"/>
                </a:schemeClr>
              </a:innerShdw>
            </a:effectLst>
          </c:spPr>
          <c:invertIfNegative val="0"/>
          <c:cat>
            <c:strRef>
              <c:f>Data!$A$16:$A$26</c:f>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f>Data!$H$16:$H$26</c:f>
              <c:numCache>
                <c:formatCode>_("$"* #,##0.00_);_("$"* \(#,##0.00\);_("$"* "-"??_);_(@_)</c:formatCode>
                <c:ptCount val="11"/>
                <c:pt idx="0">
                  <c:v>95</c:v>
                </c:pt>
                <c:pt idx="1">
                  <c:v>95</c:v>
                </c:pt>
                <c:pt idx="2">
                  <c:v>95</c:v>
                </c:pt>
                <c:pt idx="3">
                  <c:v>95</c:v>
                </c:pt>
                <c:pt idx="4">
                  <c:v>95</c:v>
                </c:pt>
                <c:pt idx="5">
                  <c:v>95</c:v>
                </c:pt>
                <c:pt idx="6">
                  <c:v>365</c:v>
                </c:pt>
                <c:pt idx="7">
                  <c:v>95</c:v>
                </c:pt>
                <c:pt idx="8">
                  <c:v>95</c:v>
                </c:pt>
                <c:pt idx="9">
                  <c:v>95</c:v>
                </c:pt>
                <c:pt idx="10">
                  <c:v>95</c:v>
                </c:pt>
              </c:numCache>
            </c:numRef>
          </c:val>
          <c:extLst>
            <c:ext xmlns:c16="http://schemas.microsoft.com/office/drawing/2014/chart" uri="{C3380CC4-5D6E-409C-BE32-E72D297353CC}">
              <c16:uniqueId val="{00000006-7CE8-48C0-A91A-5A4B558E14A6}"/>
            </c:ext>
          </c:extLst>
        </c:ser>
        <c:ser>
          <c:idx val="7"/>
          <c:order val="7"/>
          <c:tx>
            <c:strRef>
              <c:f>Data!$I$15</c:f>
              <c:strCache>
                <c:ptCount val="1"/>
                <c:pt idx="0">
                  <c:v>Dining Out</c:v>
                </c:pt>
              </c:strCache>
            </c:strRef>
          </c:tx>
          <c:spPr>
            <a:pattFill prst="narHorz">
              <a:fgClr>
                <a:schemeClr val="accent1">
                  <a:tint val="69000"/>
                </a:schemeClr>
              </a:fgClr>
              <a:bgClr>
                <a:schemeClr val="accent1">
                  <a:tint val="69000"/>
                  <a:lumMod val="20000"/>
                  <a:lumOff val="80000"/>
                </a:schemeClr>
              </a:bgClr>
            </a:pattFill>
            <a:ln>
              <a:noFill/>
            </a:ln>
            <a:effectLst>
              <a:innerShdw blurRad="114300">
                <a:schemeClr val="accent1">
                  <a:tint val="69000"/>
                </a:schemeClr>
              </a:innerShdw>
            </a:effectLst>
          </c:spPr>
          <c:invertIfNegative val="0"/>
          <c:cat>
            <c:strRef>
              <c:f>Data!$A$16:$A$26</c:f>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f>Data!$I$16:$I$26</c:f>
              <c:numCache>
                <c:formatCode>_("$"* #,##0.00_);_("$"* \(#,##0.00\);_("$"* "-"??_);_(@_)</c:formatCode>
                <c:ptCount val="11"/>
                <c:pt idx="0">
                  <c:v>200</c:v>
                </c:pt>
                <c:pt idx="1">
                  <c:v>120</c:v>
                </c:pt>
                <c:pt idx="2">
                  <c:v>100</c:v>
                </c:pt>
                <c:pt idx="3">
                  <c:v>160</c:v>
                </c:pt>
                <c:pt idx="4">
                  <c:v>0</c:v>
                </c:pt>
                <c:pt idx="5">
                  <c:v>200</c:v>
                </c:pt>
                <c:pt idx="6">
                  <c:v>500</c:v>
                </c:pt>
                <c:pt idx="7">
                  <c:v>250</c:v>
                </c:pt>
                <c:pt idx="8">
                  <c:v>155</c:v>
                </c:pt>
                <c:pt idx="9">
                  <c:v>75</c:v>
                </c:pt>
                <c:pt idx="10">
                  <c:v>200</c:v>
                </c:pt>
              </c:numCache>
            </c:numRef>
          </c:val>
          <c:extLst>
            <c:ext xmlns:c16="http://schemas.microsoft.com/office/drawing/2014/chart" uri="{C3380CC4-5D6E-409C-BE32-E72D297353CC}">
              <c16:uniqueId val="{00000007-7CE8-48C0-A91A-5A4B558E14A6}"/>
            </c:ext>
          </c:extLst>
        </c:ser>
        <c:dLbls>
          <c:showLegendKey val="0"/>
          <c:showVal val="0"/>
          <c:showCatName val="0"/>
          <c:showSerName val="0"/>
          <c:showPercent val="0"/>
          <c:showBubbleSize val="0"/>
        </c:dLbls>
        <c:gapWidth val="164"/>
        <c:axId val="1205441776"/>
        <c:axId val="1058346112"/>
        <c:extLst>
          <c:ext xmlns:c15="http://schemas.microsoft.com/office/drawing/2012/chart" uri="{02D57815-91ED-43cb-92C2-25804820EDAC}">
            <c15:filteredBarSeries>
              <c15:ser>
                <c:idx val="8"/>
                <c:order val="8"/>
                <c:tx>
                  <c:strRef>
                    <c:extLst>
                      <c:ext uri="{02D57815-91ED-43cb-92C2-25804820EDAC}">
                        <c15:formulaRef>
                          <c15:sqref>Data!$J$15</c15:sqref>
                        </c15:formulaRef>
                      </c:ext>
                    </c:extLst>
                    <c:strCache>
                      <c:ptCount val="1"/>
                      <c:pt idx="0">
                        <c:v>Total Monthly Expense</c:v>
                      </c:pt>
                    </c:strCache>
                  </c:strRef>
                </c:tx>
                <c:spPr>
                  <a:pattFill prst="narHorz">
                    <a:fgClr>
                      <a:schemeClr val="accent1">
                        <a:tint val="56000"/>
                      </a:schemeClr>
                    </a:fgClr>
                    <a:bgClr>
                      <a:schemeClr val="accent1">
                        <a:tint val="56000"/>
                        <a:lumMod val="20000"/>
                        <a:lumOff val="80000"/>
                      </a:schemeClr>
                    </a:bgClr>
                  </a:pattFill>
                  <a:ln>
                    <a:noFill/>
                  </a:ln>
                  <a:effectLst>
                    <a:innerShdw blurRad="114300">
                      <a:schemeClr val="accent1">
                        <a:tint val="56000"/>
                      </a:schemeClr>
                    </a:innerShdw>
                  </a:effectLst>
                </c:spPr>
                <c:invertIfNegative val="0"/>
                <c:cat>
                  <c:strRef>
                    <c:extLst>
                      <c:ext uri="{02D57815-91ED-43cb-92C2-25804820EDAC}">
                        <c15:formulaRef>
                          <c15:sqref>Data!$A$16:$A$26</c15:sqref>
                        </c15:formulaRef>
                      </c:ext>
                    </c:extLst>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extLst>
                      <c:ext uri="{02D57815-91ED-43cb-92C2-25804820EDAC}">
                        <c15:formulaRef>
                          <c15:sqref>Data!$J$16:$J$26</c15:sqref>
                        </c15:formulaRef>
                      </c:ext>
                    </c:extLst>
                    <c:numCache>
                      <c:formatCode>_("$"* #,##0.00_);_("$"* \(#,##0.00\);_("$"* "-"??_);_(@_)</c:formatCode>
                      <c:ptCount val="11"/>
                      <c:pt idx="0">
                        <c:v>2541</c:v>
                      </c:pt>
                      <c:pt idx="1">
                        <c:v>2521</c:v>
                      </c:pt>
                      <c:pt idx="2">
                        <c:v>2466</c:v>
                      </c:pt>
                      <c:pt idx="3">
                        <c:v>2501</c:v>
                      </c:pt>
                      <c:pt idx="4">
                        <c:v>2366</c:v>
                      </c:pt>
                      <c:pt idx="5">
                        <c:v>2501</c:v>
                      </c:pt>
                      <c:pt idx="6">
                        <c:v>3941</c:v>
                      </c:pt>
                      <c:pt idx="7">
                        <c:v>2596</c:v>
                      </c:pt>
                      <c:pt idx="8">
                        <c:v>2466</c:v>
                      </c:pt>
                      <c:pt idx="9">
                        <c:v>2441</c:v>
                      </c:pt>
                      <c:pt idx="10">
                        <c:v>2581</c:v>
                      </c:pt>
                    </c:numCache>
                  </c:numRef>
                </c:val>
                <c:extLst>
                  <c:ext xmlns:c16="http://schemas.microsoft.com/office/drawing/2014/chart" uri="{C3380CC4-5D6E-409C-BE32-E72D297353CC}">
                    <c16:uniqueId val="{00000008-7CE8-48C0-A91A-5A4B558E14A6}"/>
                  </c:ext>
                </c:extLst>
              </c15:ser>
            </c15:filteredBarSeries>
            <c15:filteredBarSeries>
              <c15:ser>
                <c:idx val="9"/>
                <c:order val="9"/>
                <c:tx>
                  <c:strRef>
                    <c:extLst>
                      <c:ext xmlns:c15="http://schemas.microsoft.com/office/drawing/2012/chart" uri="{02D57815-91ED-43cb-92C2-25804820EDAC}">
                        <c15:formulaRef>
                          <c15:sqref>Data!$K$15</c15:sqref>
                        </c15:formulaRef>
                      </c:ext>
                    </c:extLst>
                    <c:strCache>
                      <c:ptCount val="1"/>
                      <c:pt idx="0">
                        <c:v>Net Savings</c:v>
                      </c:pt>
                    </c:strCache>
                  </c:strRef>
                </c:tx>
                <c:spPr>
                  <a:pattFill prst="narHorz">
                    <a:fgClr>
                      <a:schemeClr val="accent1">
                        <a:tint val="43000"/>
                      </a:schemeClr>
                    </a:fgClr>
                    <a:bgClr>
                      <a:schemeClr val="accent1">
                        <a:tint val="43000"/>
                        <a:lumMod val="20000"/>
                        <a:lumOff val="80000"/>
                      </a:schemeClr>
                    </a:bgClr>
                  </a:pattFill>
                  <a:ln>
                    <a:noFill/>
                  </a:ln>
                  <a:effectLst>
                    <a:innerShdw blurRad="114300">
                      <a:schemeClr val="accent1">
                        <a:tint val="43000"/>
                      </a:schemeClr>
                    </a:innerShdw>
                  </a:effectLst>
                </c:spPr>
                <c:invertIfNegative val="0"/>
                <c:cat>
                  <c:strRef>
                    <c:extLst>
                      <c:ext xmlns:c15="http://schemas.microsoft.com/office/drawing/2012/chart" uri="{02D57815-91ED-43cb-92C2-25804820EDAC}">
                        <c15:formulaRef>
                          <c15:sqref>Data!$A$16:$A$26</c15:sqref>
                        </c15:formulaRef>
                      </c:ext>
                    </c:extLst>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extLst>
                      <c:ext xmlns:c15="http://schemas.microsoft.com/office/drawing/2012/chart" uri="{02D57815-91ED-43cb-92C2-25804820EDAC}">
                        <c15:formulaRef>
                          <c15:sqref>Data!$K$16:$K$26</c15:sqref>
                        </c15:formulaRef>
                      </c:ext>
                    </c:extLst>
                    <c:numCache>
                      <c:formatCode>_("$"* #,##0.00_);_("$"* \(#,##0.00\);_("$"* "-"??_);_(@_)</c:formatCode>
                      <c:ptCount val="11"/>
                      <c:pt idx="0">
                        <c:v>1392.44</c:v>
                      </c:pt>
                      <c:pt idx="1">
                        <c:v>1412.44</c:v>
                      </c:pt>
                      <c:pt idx="2">
                        <c:v>1467.44</c:v>
                      </c:pt>
                      <c:pt idx="3">
                        <c:v>1432.44</c:v>
                      </c:pt>
                      <c:pt idx="4">
                        <c:v>1567.44</c:v>
                      </c:pt>
                      <c:pt idx="5">
                        <c:v>1432.44</c:v>
                      </c:pt>
                      <c:pt idx="6">
                        <c:v>-7.5599999999999454</c:v>
                      </c:pt>
                      <c:pt idx="7">
                        <c:v>1337.44</c:v>
                      </c:pt>
                      <c:pt idx="8">
                        <c:v>1467.44</c:v>
                      </c:pt>
                      <c:pt idx="9">
                        <c:v>1492.44</c:v>
                      </c:pt>
                      <c:pt idx="10">
                        <c:v>1352.44</c:v>
                      </c:pt>
                    </c:numCache>
                  </c:numRef>
                </c:val>
                <c:extLst xmlns:c15="http://schemas.microsoft.com/office/drawing/2012/chart">
                  <c:ext xmlns:c16="http://schemas.microsoft.com/office/drawing/2014/chart" uri="{C3380CC4-5D6E-409C-BE32-E72D297353CC}">
                    <c16:uniqueId val="{00000009-7CE8-48C0-A91A-5A4B558E14A6}"/>
                  </c:ext>
                </c:extLst>
              </c15:ser>
            </c15:filteredBarSeries>
          </c:ext>
        </c:extLst>
      </c:barChart>
      <c:catAx>
        <c:axId val="120544177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58346112"/>
        <c:crosses val="autoZero"/>
        <c:auto val="1"/>
        <c:lblAlgn val="ctr"/>
        <c:lblOffset val="100"/>
        <c:noMultiLvlLbl val="0"/>
      </c:catAx>
      <c:valAx>
        <c:axId val="105834611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5441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strRef>
          <c:f>Expense_Category[[#Headers],[Expense Category]]</c:f>
          <c:strCache>
            <c:ptCount val="1"/>
            <c:pt idx="0">
              <c:v>Expense Category</c:v>
            </c:pt>
          </c:strCache>
        </c:strRef>
      </c:tx>
      <c:overlay val="0"/>
      <c:spPr>
        <a:noFill/>
        <a:ln>
          <a:noFill/>
        </a:ln>
        <a:effectLst/>
      </c:spPr>
      <c:txPr>
        <a:bodyPr rot="0" spcFirstLastPara="1" vertOverflow="ellipsis" vert="horz" wrap="square" anchor="ctr" anchorCtr="1"/>
        <a:lstStyle/>
        <a:p>
          <a:pPr algn="ctr" rtl="0">
            <a:defRPr sz="1400" b="1" i="0" u="none" strike="noStrike" kern="1200" cap="all" spc="50" baseline="0">
              <a:solidFill>
                <a:schemeClr val="dk1"/>
              </a:solidFill>
              <a:latin typeface="+mn-lt"/>
              <a:ea typeface="+mn-ea"/>
              <a:cs typeface="+mn-cs"/>
            </a:defRPr>
          </a:pPr>
          <a:endParaRPr lang="en-US"/>
        </a:p>
      </c:txPr>
    </c:title>
    <c:autoTitleDeleted val="0"/>
    <c:plotArea>
      <c:layout/>
      <c:doughnutChart>
        <c:varyColors val="1"/>
        <c:ser>
          <c:idx val="0"/>
          <c:order val="0"/>
          <c:tx>
            <c:strRef>
              <c:f>Data!$D$4</c:f>
              <c:strCache>
                <c:ptCount val="1"/>
                <c:pt idx="0">
                  <c:v>Annual Total</c:v>
                </c:pt>
              </c:strCache>
            </c:strRef>
          </c:tx>
          <c:dPt>
            <c:idx val="0"/>
            <c:bubble3D val="0"/>
            <c:spPr>
              <a:solidFill>
                <a:schemeClr val="accent6">
                  <a:shade val="4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E77-4960-89F7-432A115704C5}"/>
              </c:ext>
            </c:extLst>
          </c:dPt>
          <c:dPt>
            <c:idx val="1"/>
            <c:bubble3D val="0"/>
            <c:spPr>
              <a:solidFill>
                <a:schemeClr val="accent6">
                  <a:shade val="61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E77-4960-89F7-432A115704C5}"/>
              </c:ext>
            </c:extLst>
          </c:dPt>
          <c:dPt>
            <c:idx val="2"/>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E77-4960-89F7-432A115704C5}"/>
              </c:ext>
            </c:extLst>
          </c:dPt>
          <c:dPt>
            <c:idx val="3"/>
            <c:bubble3D val="0"/>
            <c:spPr>
              <a:solidFill>
                <a:schemeClr val="accent6">
                  <a:shade val="9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E77-4960-89F7-432A115704C5}"/>
              </c:ext>
            </c:extLst>
          </c:dPt>
          <c:dPt>
            <c:idx val="4"/>
            <c:bubble3D val="0"/>
            <c:spPr>
              <a:solidFill>
                <a:schemeClr val="accent6">
                  <a:tint val="9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E77-4960-89F7-432A115704C5}"/>
              </c:ext>
            </c:extLst>
          </c:dPt>
          <c:dPt>
            <c:idx val="5"/>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2E77-4960-89F7-432A115704C5}"/>
              </c:ext>
            </c:extLst>
          </c:dPt>
          <c:dPt>
            <c:idx val="6"/>
            <c:bubble3D val="0"/>
            <c:spPr>
              <a:solidFill>
                <a:schemeClr val="accent6">
                  <a:tint val="6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2E77-4960-89F7-432A115704C5}"/>
              </c:ext>
            </c:extLst>
          </c:dPt>
          <c:dPt>
            <c:idx val="7"/>
            <c:bubble3D val="0"/>
            <c:spPr>
              <a:solidFill>
                <a:schemeClr val="accent6">
                  <a:tint val="4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2E77-4960-89F7-432A115704C5}"/>
              </c:ext>
            </c:extLst>
          </c:dPt>
          <c:dLbls>
            <c:dLbl>
              <c:idx val="0"/>
              <c:layout>
                <c:manualLayout>
                  <c:x val="7.4139976275207478E-2"/>
                  <c:y val="6.625891946992865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E77-4960-89F7-432A115704C5}"/>
                </c:ext>
              </c:extLst>
            </c:dLbl>
            <c:dLbl>
              <c:idx val="1"/>
              <c:layout>
                <c:manualLayout>
                  <c:x val="-5.6346381969157769E-2"/>
                  <c:y val="4.07747196738021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E77-4960-89F7-432A115704C5}"/>
                </c:ext>
              </c:extLst>
            </c:dLbl>
            <c:dLbl>
              <c:idx val="2"/>
              <c:layout>
                <c:manualLayout>
                  <c:x val="-6.5243179122182679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E77-4960-89F7-432A115704C5}"/>
                </c:ext>
              </c:extLst>
            </c:dLbl>
            <c:dLbl>
              <c:idx val="3"/>
              <c:layout>
                <c:manualLayout>
                  <c:x val="-5.9311981020166077E-2"/>
                  <c:y val="-4.07747196738022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E77-4960-89F7-432A115704C5}"/>
                </c:ext>
              </c:extLst>
            </c:dLbl>
            <c:dLbl>
              <c:idx val="4"/>
              <c:layout>
                <c:manualLayout>
                  <c:x val="-3.2621589561091395E-2"/>
                  <c:y val="-9.174311926605505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E77-4960-89F7-432A115704C5}"/>
                </c:ext>
              </c:extLst>
            </c:dLbl>
            <c:dLbl>
              <c:idx val="5"/>
              <c:layout>
                <c:manualLayout>
                  <c:x val="-2.3724792408066429E-2"/>
                  <c:y val="-0.1070336391437308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2E77-4960-89F7-432A115704C5}"/>
                </c:ext>
              </c:extLst>
            </c:dLbl>
            <c:dLbl>
              <c:idx val="6"/>
              <c:layout>
                <c:manualLayout>
                  <c:x val="-1.1862396204033215E-2"/>
                  <c:y val="-0.112130479102956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2E77-4960-89F7-432A115704C5}"/>
                </c:ext>
              </c:extLst>
            </c:dLbl>
            <c:dLbl>
              <c:idx val="7"/>
              <c:layout>
                <c:manualLayout>
                  <c:x val="5.9311981020165527E-3"/>
                  <c:y val="-0.11722731906218149"/>
                </c:manualLayout>
              </c:layout>
              <c:tx>
                <c:rich>
                  <a:bodyPr/>
                  <a:lstStyle/>
                  <a:p>
                    <a:fld id="{D14AB028-E22A-417B-8997-CCBBDE9DD455}" type="PERCENTAGE">
                      <a:rPr lang="en-US" u="none"/>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2E77-4960-89F7-432A115704C5}"/>
                </c:ext>
              </c:extLst>
            </c:dLbl>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Data!$C$5:$C$12</c:f>
              <c:strCache>
                <c:ptCount val="8"/>
                <c:pt idx="0">
                  <c:v>Rent</c:v>
                </c:pt>
                <c:pt idx="1">
                  <c:v>Grocery Bill</c:v>
                </c:pt>
                <c:pt idx="2">
                  <c:v>Dining Out</c:v>
                </c:pt>
                <c:pt idx="3">
                  <c:v>Electricity Bill</c:v>
                </c:pt>
                <c:pt idx="4">
                  <c:v>Gas</c:v>
                </c:pt>
                <c:pt idx="5">
                  <c:v>Car Insurance</c:v>
                </c:pt>
                <c:pt idx="6">
                  <c:v>Water Bill</c:v>
                </c:pt>
                <c:pt idx="7">
                  <c:v>Phone Bill</c:v>
                </c:pt>
              </c:strCache>
            </c:strRef>
          </c:cat>
          <c:val>
            <c:numRef>
              <c:f>Data!$D$5:$D$12</c:f>
              <c:numCache>
                <c:formatCode>_("$"* #,##0.00_);_("$"* \(#,##0.00\);_("$"* "-"??_);_(@_)</c:formatCode>
                <c:ptCount val="8"/>
                <c:pt idx="0">
                  <c:v>18436</c:v>
                </c:pt>
                <c:pt idx="1">
                  <c:v>2335</c:v>
                </c:pt>
                <c:pt idx="2">
                  <c:v>1960</c:v>
                </c:pt>
                <c:pt idx="3">
                  <c:v>1955</c:v>
                </c:pt>
                <c:pt idx="4">
                  <c:v>1315</c:v>
                </c:pt>
                <c:pt idx="5">
                  <c:v>1230</c:v>
                </c:pt>
                <c:pt idx="6">
                  <c:v>1130</c:v>
                </c:pt>
                <c:pt idx="7">
                  <c:v>560</c:v>
                </c:pt>
              </c:numCache>
            </c:numRef>
          </c:val>
          <c:extLst>
            <c:ext xmlns:c16="http://schemas.microsoft.com/office/drawing/2014/chart" uri="{C3380CC4-5D6E-409C-BE32-E72D297353CC}">
              <c16:uniqueId val="{00000010-2E77-4960-89F7-432A115704C5}"/>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Data!$J$15</c:f>
          <c:strCache>
            <c:ptCount val="1"/>
            <c:pt idx="0">
              <c:v>Total Monthly Expense</c:v>
            </c:pt>
          </c:strCache>
        </c:strRef>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dk1">
                  <a:tint val="88500"/>
                </a:schemeClr>
              </a:solidFill>
              <a:round/>
            </a:ln>
            <a:effectLst/>
          </c:spPr>
          <c:marker>
            <c:symbol val="none"/>
          </c:marker>
          <c:val>
            <c:numRef>
              <c:f>Data!$J$16:$J$26</c:f>
              <c:numCache>
                <c:formatCode>_("$"* #,##0.00_);_("$"* \(#,##0.00\);_("$"* "-"??_);_(@_)</c:formatCode>
                <c:ptCount val="11"/>
                <c:pt idx="0">
                  <c:v>2541</c:v>
                </c:pt>
                <c:pt idx="1">
                  <c:v>2521</c:v>
                </c:pt>
                <c:pt idx="2">
                  <c:v>2466</c:v>
                </c:pt>
                <c:pt idx="3">
                  <c:v>2501</c:v>
                </c:pt>
                <c:pt idx="4">
                  <c:v>2366</c:v>
                </c:pt>
                <c:pt idx="5">
                  <c:v>2501</c:v>
                </c:pt>
                <c:pt idx="6">
                  <c:v>3941</c:v>
                </c:pt>
                <c:pt idx="7">
                  <c:v>2596</c:v>
                </c:pt>
                <c:pt idx="8">
                  <c:v>2466</c:v>
                </c:pt>
                <c:pt idx="9">
                  <c:v>2441</c:v>
                </c:pt>
                <c:pt idx="10">
                  <c:v>2581</c:v>
                </c:pt>
              </c:numCache>
            </c:numRef>
          </c:val>
          <c:smooth val="0"/>
          <c:extLst>
            <c:ext xmlns:c16="http://schemas.microsoft.com/office/drawing/2014/chart" uri="{C3380CC4-5D6E-409C-BE32-E72D297353CC}">
              <c16:uniqueId val="{00000000-7FE1-4527-8E33-AB064FFCABE8}"/>
            </c:ext>
          </c:extLst>
        </c:ser>
        <c:dLbls>
          <c:showLegendKey val="0"/>
          <c:showVal val="0"/>
          <c:showCatName val="0"/>
          <c:showSerName val="0"/>
          <c:showPercent val="0"/>
          <c:showBubbleSize val="0"/>
        </c:dLbls>
        <c:smooth val="0"/>
        <c:axId val="199241008"/>
        <c:axId val="1058372992"/>
      </c:lineChart>
      <c:catAx>
        <c:axId val="19924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58372992"/>
        <c:crosses val="autoZero"/>
        <c:auto val="1"/>
        <c:lblAlgn val="ctr"/>
        <c:lblOffset val="100"/>
        <c:noMultiLvlLbl val="0"/>
      </c:catAx>
      <c:valAx>
        <c:axId val="105837299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9241008"/>
        <c:crosses val="autoZero"/>
        <c:crossBetween val="between"/>
      </c:valAx>
      <c:spPr>
        <a:noFill/>
        <a:ln>
          <a:noFill/>
        </a:ln>
        <a:effectLst/>
      </c:spPr>
    </c:plotArea>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[Personal_Fiance_Analystics_Dashboard.xlsx]Pivot Tables!Monthly Expense</c:name>
    <c:fmtId val="0"/>
  </c:pivotSource>
  <c:chart>
    <c:title>
      <c:tx>
        <c:rich>
          <a:bodyPr rot="0" spcFirstLastPara="1" vertOverflow="ellipsis" vert="horz" wrap="square" anchor="ctr" anchorCtr="1"/>
          <a:lstStyle/>
          <a:p>
            <a:pPr algn="ctr" rtl="0">
              <a:defRPr lang="en-US" sz="1400" b="1" i="0" u="none" strike="noStrike" kern="1200" cap="all" spc="50" baseline="0">
                <a:solidFill>
                  <a:sysClr val="windowText" lastClr="000000"/>
                </a:solidFill>
                <a:latin typeface="+mn-lt"/>
                <a:ea typeface="+mn-ea"/>
                <a:cs typeface="+mn-cs"/>
              </a:defRPr>
            </a:pPr>
            <a:r>
              <a:rPr lang="en-US" sz="1400" b="1" i="0" u="none" strike="noStrike" kern="1200" cap="all" spc="50" baseline="0">
                <a:solidFill>
                  <a:sysClr val="windowText" lastClr="000000"/>
                </a:solidFill>
                <a:latin typeface="+mn-lt"/>
                <a:ea typeface="+mn-ea"/>
                <a:cs typeface="+mn-cs"/>
              </a:rPr>
              <a:t>Total Monthly Expense</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Tables'!$A$4:$A$15</c:f>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f>'Pivot Tables'!$B$4:$B$15</c:f>
              <c:numCache>
                <c:formatCode>_("$"* #,##0.00_);_("$"* \(#,##0.00\);_("$"* "-"??_);_(@_)</c:formatCode>
                <c:ptCount val="11"/>
                <c:pt idx="0">
                  <c:v>2541</c:v>
                </c:pt>
                <c:pt idx="1">
                  <c:v>2521</c:v>
                </c:pt>
                <c:pt idx="2">
                  <c:v>2466</c:v>
                </c:pt>
                <c:pt idx="3">
                  <c:v>2501</c:v>
                </c:pt>
                <c:pt idx="4">
                  <c:v>2366</c:v>
                </c:pt>
                <c:pt idx="5">
                  <c:v>2501</c:v>
                </c:pt>
                <c:pt idx="6">
                  <c:v>3941</c:v>
                </c:pt>
                <c:pt idx="7">
                  <c:v>2596</c:v>
                </c:pt>
                <c:pt idx="8">
                  <c:v>2466</c:v>
                </c:pt>
                <c:pt idx="9">
                  <c:v>2441</c:v>
                </c:pt>
                <c:pt idx="10">
                  <c:v>2581</c:v>
                </c:pt>
              </c:numCache>
            </c:numRef>
          </c:val>
          <c:extLst>
            <c:ext xmlns:c16="http://schemas.microsoft.com/office/drawing/2014/chart" uri="{C3380CC4-5D6E-409C-BE32-E72D297353CC}">
              <c16:uniqueId val="{00000004-7847-4F49-A43F-7518682AEB05}"/>
            </c:ext>
          </c:extLst>
        </c:ser>
        <c:dLbls>
          <c:showLegendKey val="0"/>
          <c:showVal val="0"/>
          <c:showCatName val="0"/>
          <c:showSerName val="0"/>
          <c:showPercent val="0"/>
          <c:showBubbleSize val="0"/>
        </c:dLbls>
        <c:gapWidth val="115"/>
        <c:overlap val="-20"/>
        <c:axId val="1205453376"/>
        <c:axId val="932593952"/>
      </c:barChart>
      <c:catAx>
        <c:axId val="12054533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32593952"/>
        <c:crosses val="autoZero"/>
        <c:auto val="1"/>
        <c:lblAlgn val="ctr"/>
        <c:lblOffset val="100"/>
        <c:noMultiLvlLbl val="0"/>
      </c:catAx>
      <c:valAx>
        <c:axId val="93259395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545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[Personal_Fiance_Analystics_Dashboard.xlsx]Pivot Tables!Expense vs Savings</c:name>
    <c:fmtId val="2"/>
  </c:pivotSource>
  <c:chart>
    <c:title>
      <c:tx>
        <c:rich>
          <a:bodyPr rot="0" spcFirstLastPara="1" vertOverflow="ellipsis" vert="horz" wrap="square" anchor="ctr" anchorCtr="1"/>
          <a:lstStyle/>
          <a:p>
            <a:pPr algn="ctr" rtl="0">
              <a:defRPr lang="en-US" sz="1400" b="1" i="0" u="none" strike="noStrike" kern="1200" cap="all" spc="50" baseline="0">
                <a:solidFill>
                  <a:sysClr val="windowText" lastClr="000000"/>
                </a:solidFill>
                <a:latin typeface="+mn-lt"/>
                <a:ea typeface="+mn-ea"/>
                <a:cs typeface="+mn-cs"/>
              </a:defRPr>
            </a:pPr>
            <a:r>
              <a:rPr lang="en-US" sz="1400" b="1" i="0" u="none" strike="noStrike" kern="1200" cap="all" spc="50" baseline="0">
                <a:solidFill>
                  <a:sysClr val="windowText" lastClr="000000"/>
                </a:solidFill>
                <a:latin typeface="+mn-lt"/>
                <a:ea typeface="+mn-ea"/>
                <a:cs typeface="+mn-cs"/>
              </a:rPr>
              <a:t>Expenses vs Savings</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Tables'!$B$17</c:f>
              <c:strCache>
                <c:ptCount val="1"/>
                <c:pt idx="0">
                  <c:v> Total Monthly Expense</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Tables'!$A$18:$A$29</c:f>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f>'Pivot Tables'!$B$18:$B$29</c:f>
              <c:numCache>
                <c:formatCode>_("$"* #,##0.00_);_("$"* \(#,##0.00\);_("$"* "-"??_);_(@_)</c:formatCode>
                <c:ptCount val="11"/>
                <c:pt idx="0">
                  <c:v>2541</c:v>
                </c:pt>
                <c:pt idx="1">
                  <c:v>2521</c:v>
                </c:pt>
                <c:pt idx="2">
                  <c:v>2466</c:v>
                </c:pt>
                <c:pt idx="3">
                  <c:v>2501</c:v>
                </c:pt>
                <c:pt idx="4">
                  <c:v>2366</c:v>
                </c:pt>
                <c:pt idx="5">
                  <c:v>2501</c:v>
                </c:pt>
                <c:pt idx="6">
                  <c:v>3941</c:v>
                </c:pt>
                <c:pt idx="7">
                  <c:v>2596</c:v>
                </c:pt>
                <c:pt idx="8">
                  <c:v>2466</c:v>
                </c:pt>
                <c:pt idx="9">
                  <c:v>2441</c:v>
                </c:pt>
                <c:pt idx="10">
                  <c:v>2581</c:v>
                </c:pt>
              </c:numCache>
            </c:numRef>
          </c:val>
          <c:extLst>
            <c:ext xmlns:c16="http://schemas.microsoft.com/office/drawing/2014/chart" uri="{C3380CC4-5D6E-409C-BE32-E72D297353CC}">
              <c16:uniqueId val="{00000005-AE2D-4164-98E3-8AE4B7D334F9}"/>
            </c:ext>
          </c:extLst>
        </c:ser>
        <c:dLbls>
          <c:showLegendKey val="0"/>
          <c:showVal val="0"/>
          <c:showCatName val="0"/>
          <c:showSerName val="0"/>
          <c:showPercent val="0"/>
          <c:showBubbleSize val="0"/>
        </c:dLbls>
        <c:gapWidth val="150"/>
        <c:axId val="47450448"/>
        <c:axId val="1058327872"/>
      </c:barChart>
      <c:lineChart>
        <c:grouping val="standard"/>
        <c:varyColors val="0"/>
        <c:ser>
          <c:idx val="1"/>
          <c:order val="1"/>
          <c:tx>
            <c:strRef>
              <c:f>'Pivot Tables'!$C$17</c:f>
              <c:strCache>
                <c:ptCount val="1"/>
                <c:pt idx="0">
                  <c:v> Net Savings</c:v>
                </c:pt>
              </c:strCache>
            </c:strRef>
          </c:tx>
          <c:spPr>
            <a:ln w="34925" cap="rnd">
              <a:solidFill>
                <a:schemeClr val="accent3">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cat>
            <c:strRef>
              <c:f>'Pivot Tables'!$A$18:$A$29</c:f>
              <c:strCache>
                <c:ptCount val="11"/>
                <c:pt idx="0">
                  <c:v>January</c:v>
                </c:pt>
                <c:pt idx="1">
                  <c:v>February</c:v>
                </c:pt>
                <c:pt idx="2">
                  <c:v>March</c:v>
                </c:pt>
                <c:pt idx="3">
                  <c:v>April</c:v>
                </c:pt>
                <c:pt idx="4">
                  <c:v>June</c:v>
                </c:pt>
                <c:pt idx="5">
                  <c:v>July</c:v>
                </c:pt>
                <c:pt idx="6">
                  <c:v>August</c:v>
                </c:pt>
                <c:pt idx="7">
                  <c:v>September</c:v>
                </c:pt>
                <c:pt idx="8">
                  <c:v>October</c:v>
                </c:pt>
                <c:pt idx="9">
                  <c:v>November</c:v>
                </c:pt>
                <c:pt idx="10">
                  <c:v>December</c:v>
                </c:pt>
              </c:strCache>
            </c:strRef>
          </c:cat>
          <c:val>
            <c:numRef>
              <c:f>'Pivot Tables'!$C$18:$C$29</c:f>
              <c:numCache>
                <c:formatCode>_("$"* #,##0.00_);_("$"* \(#,##0.00\);_("$"* "-"??_);_(@_)</c:formatCode>
                <c:ptCount val="11"/>
                <c:pt idx="0">
                  <c:v>1392.44</c:v>
                </c:pt>
                <c:pt idx="1">
                  <c:v>1412.44</c:v>
                </c:pt>
                <c:pt idx="2">
                  <c:v>1467.44</c:v>
                </c:pt>
                <c:pt idx="3">
                  <c:v>1432.44</c:v>
                </c:pt>
                <c:pt idx="4">
                  <c:v>1567.44</c:v>
                </c:pt>
                <c:pt idx="5">
                  <c:v>1432.44</c:v>
                </c:pt>
                <c:pt idx="6">
                  <c:v>-7.5599999999999454</c:v>
                </c:pt>
                <c:pt idx="7">
                  <c:v>1337.44</c:v>
                </c:pt>
                <c:pt idx="8">
                  <c:v>1467.44</c:v>
                </c:pt>
                <c:pt idx="9">
                  <c:v>1492.44</c:v>
                </c:pt>
                <c:pt idx="10">
                  <c:v>1352.44</c:v>
                </c:pt>
              </c:numCache>
            </c:numRef>
          </c:val>
          <c:smooth val="0"/>
          <c:extLst>
            <c:ext xmlns:c16="http://schemas.microsoft.com/office/drawing/2014/chart" uri="{C3380CC4-5D6E-409C-BE32-E72D297353CC}">
              <c16:uniqueId val="{00000006-AE2D-4164-98E3-8AE4B7D334F9}"/>
            </c:ext>
          </c:extLst>
        </c:ser>
        <c:dLbls>
          <c:showLegendKey val="0"/>
          <c:showVal val="0"/>
          <c:showCatName val="0"/>
          <c:showSerName val="0"/>
          <c:showPercent val="0"/>
          <c:showBubbleSize val="0"/>
        </c:dLbls>
        <c:marker val="1"/>
        <c:smooth val="0"/>
        <c:axId val="47450448"/>
        <c:axId val="1058327872"/>
      </c:lineChart>
      <c:catAx>
        <c:axId val="474504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58327872"/>
        <c:crosses val="autoZero"/>
        <c:auto val="1"/>
        <c:lblAlgn val="ctr"/>
        <c:lblOffset val="100"/>
        <c:noMultiLvlLbl val="0"/>
      </c:catAx>
      <c:valAx>
        <c:axId val="10583278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745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Budget!$T$3</c:f>
              <c:strCache>
                <c:ptCount val="1"/>
                <c:pt idx="0">
                  <c:v>Total Income</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E12A-43EA-82A0-3732546C8595}"/>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E12A-43EA-82A0-3732546C8595}"/>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E12A-43EA-82A0-3732546C8595}"/>
              </c:ext>
            </c:extLst>
          </c:dPt>
          <c:dPt>
            <c:idx val="3"/>
            <c:bubble3D val="0"/>
            <c:spPr>
              <a:solidFill>
                <a:srgbClr val="9373C0"/>
              </a:solidFill>
              <a:ln w="19050">
                <a:solidFill>
                  <a:schemeClr val="lt1"/>
                </a:solidFill>
              </a:ln>
              <a:effectLst/>
            </c:spPr>
            <c:extLst>
              <c:ext xmlns:c16="http://schemas.microsoft.com/office/drawing/2014/chart" uri="{C3380CC4-5D6E-409C-BE32-E72D297353CC}">
                <c16:uniqueId val="{00000007-E12A-43EA-82A0-3732546C8595}"/>
              </c:ext>
            </c:extLst>
          </c:dPt>
          <c:dPt>
            <c:idx val="4"/>
            <c:bubble3D val="0"/>
            <c:spPr>
              <a:solidFill>
                <a:srgbClr val="13A10E"/>
              </a:solidFill>
              <a:ln w="19050">
                <a:solidFill>
                  <a:schemeClr val="lt1"/>
                </a:solidFill>
              </a:ln>
              <a:effectLst/>
            </c:spPr>
            <c:extLst>
              <c:ext xmlns:c16="http://schemas.microsoft.com/office/drawing/2014/chart" uri="{C3380CC4-5D6E-409C-BE32-E72D297353CC}">
                <c16:uniqueId val="{00000009-E12A-43EA-82A0-3732546C8595}"/>
              </c:ext>
            </c:extLst>
          </c:dPt>
          <c:dPt>
            <c:idx val="5"/>
            <c:bubble3D val="0"/>
            <c:spPr>
              <a:solidFill>
                <a:srgbClr val="3A96DD"/>
              </a:solidFill>
              <a:ln w="19050">
                <a:solidFill>
                  <a:schemeClr val="lt1"/>
                </a:solidFill>
              </a:ln>
              <a:effectLst/>
            </c:spPr>
            <c:extLst>
              <c:ext xmlns:c16="http://schemas.microsoft.com/office/drawing/2014/chart" uri="{C3380CC4-5D6E-409C-BE32-E72D297353CC}">
                <c16:uniqueId val="{0000000B-E12A-43EA-82A0-3732546C8595}"/>
              </c:ext>
            </c:extLst>
          </c:dPt>
          <c:dPt>
            <c:idx val="6"/>
            <c:bubble3D val="0"/>
            <c:spPr>
              <a:solidFill>
                <a:srgbClr val="CA5010"/>
              </a:solidFill>
              <a:ln w="19050">
                <a:solidFill>
                  <a:schemeClr val="lt1"/>
                </a:solidFill>
              </a:ln>
              <a:effectLst/>
            </c:spPr>
            <c:extLst>
              <c:ext xmlns:c16="http://schemas.microsoft.com/office/drawing/2014/chart" uri="{C3380CC4-5D6E-409C-BE32-E72D297353CC}">
                <c16:uniqueId val="{0000000D-E12A-43EA-82A0-3732546C8595}"/>
              </c:ext>
            </c:extLst>
          </c:dPt>
          <c:dPt>
            <c:idx val="7"/>
            <c:bubble3D val="0"/>
            <c:spPr>
              <a:solidFill>
                <a:srgbClr val="57811B"/>
              </a:solidFill>
              <a:ln w="19050">
                <a:solidFill>
                  <a:schemeClr val="lt1"/>
                </a:solidFill>
              </a:ln>
              <a:effectLst/>
            </c:spPr>
            <c:extLst>
              <c:ext xmlns:c16="http://schemas.microsoft.com/office/drawing/2014/chart" uri="{C3380CC4-5D6E-409C-BE32-E72D297353CC}">
                <c16:uniqueId val="{0000000F-E12A-43EA-82A0-3732546C8595}"/>
              </c:ext>
            </c:extLst>
          </c:dPt>
          <c:dPt>
            <c:idx val="8"/>
            <c:bubble3D val="0"/>
            <c:spPr>
              <a:solidFill>
                <a:srgbClr val="B146C2"/>
              </a:solidFill>
              <a:ln w="19050">
                <a:solidFill>
                  <a:schemeClr val="lt1"/>
                </a:solidFill>
              </a:ln>
              <a:effectLst/>
            </c:spPr>
            <c:extLst>
              <c:ext xmlns:c16="http://schemas.microsoft.com/office/drawing/2014/chart" uri="{C3380CC4-5D6E-409C-BE32-E72D297353CC}">
                <c16:uniqueId val="{00000011-E12A-43EA-82A0-3732546C8595}"/>
              </c:ext>
            </c:extLst>
          </c:dPt>
          <c:dPt>
            <c:idx val="9"/>
            <c:bubble3D val="0"/>
            <c:spPr>
              <a:solidFill>
                <a:srgbClr val="AE8C00"/>
              </a:solidFill>
              <a:ln w="19050">
                <a:solidFill>
                  <a:schemeClr val="lt1"/>
                </a:solidFill>
              </a:ln>
              <a:effectLst/>
            </c:spPr>
            <c:extLst>
              <c:ext xmlns:c16="http://schemas.microsoft.com/office/drawing/2014/chart" uri="{C3380CC4-5D6E-409C-BE32-E72D297353CC}">
                <c16:uniqueId val="{00000013-E12A-43EA-82A0-3732546C8595}"/>
              </c:ext>
            </c:extLst>
          </c:dPt>
          <c:dPt>
            <c:idx val="10"/>
            <c:bubble3D val="0"/>
            <c:spPr>
              <a:solidFill>
                <a:srgbClr val="AE8C00"/>
              </a:solidFill>
              <a:ln w="19050">
                <a:solidFill>
                  <a:schemeClr val="lt1"/>
                </a:solidFill>
              </a:ln>
              <a:effectLst/>
            </c:spPr>
            <c:extLst>
              <c:ext xmlns:c16="http://schemas.microsoft.com/office/drawing/2014/chart" uri="{C3380CC4-5D6E-409C-BE32-E72D297353CC}">
                <c16:uniqueId val="{00000015-E12A-43EA-82A0-3732546C8595}"/>
              </c:ext>
            </c:extLst>
          </c:dPt>
          <c:dPt>
            <c:idx val="11"/>
            <c:bubble3D val="0"/>
            <c:spPr>
              <a:solidFill>
                <a:srgbClr val="637CEF"/>
              </a:solidFill>
              <a:ln w="19050">
                <a:solidFill>
                  <a:schemeClr val="lt1"/>
                </a:solidFill>
              </a:ln>
              <a:effectLst/>
            </c:spPr>
            <c:extLst>
              <c:ext xmlns:c16="http://schemas.microsoft.com/office/drawing/2014/chart" uri="{C3380CC4-5D6E-409C-BE32-E72D297353CC}">
                <c16:uniqueId val="{00000017-E12A-43EA-82A0-3732546C8595}"/>
              </c:ext>
            </c:extLst>
          </c:dPt>
          <c:dPt>
            <c:idx val="12"/>
            <c:bubble3D val="0"/>
            <c:spPr>
              <a:solidFill>
                <a:srgbClr val="EE5FB7"/>
              </a:solidFill>
              <a:ln w="19050">
                <a:solidFill>
                  <a:schemeClr val="lt1"/>
                </a:solidFill>
              </a:ln>
              <a:effectLst/>
            </c:spPr>
            <c:extLst>
              <c:ext xmlns:c16="http://schemas.microsoft.com/office/drawing/2014/chart" uri="{C3380CC4-5D6E-409C-BE32-E72D297353CC}">
                <c16:uniqueId val="{00000019-E12A-43EA-82A0-3732546C8595}"/>
              </c:ext>
            </c:extLst>
          </c:dPt>
          <c:dPt>
            <c:idx val="13"/>
            <c:bubble3D val="0"/>
            <c:spPr>
              <a:solidFill>
                <a:srgbClr val="008B94"/>
              </a:solidFill>
              <a:ln w="19050">
                <a:solidFill>
                  <a:schemeClr val="lt1"/>
                </a:solidFill>
              </a:ln>
              <a:effectLst/>
            </c:spPr>
            <c:extLst>
              <c:ext xmlns:c16="http://schemas.microsoft.com/office/drawing/2014/chart" uri="{C3380CC4-5D6E-409C-BE32-E72D297353CC}">
                <c16:uniqueId val="{0000001B-E12A-43EA-82A0-3732546C8595}"/>
              </c:ext>
            </c:extLst>
          </c:dPt>
          <c:cat>
            <c:strRef>
              <c:f>Budget!$G$4:$G$17</c:f>
              <c:strCache>
                <c:ptCount val="14"/>
                <c:pt idx="0">
                  <c:v>January</c:v>
                </c:pt>
                <c:pt idx="1">
                  <c:v>Feburary</c:v>
                </c:pt>
                <c:pt idx="2">
                  <c:v>March</c:v>
                </c:pt>
                <c:pt idx="3">
                  <c:v>April</c:v>
                </c:pt>
                <c:pt idx="4">
                  <c:v>June</c:v>
                </c:pt>
                <c:pt idx="5">
                  <c:v>July</c:v>
                </c:pt>
                <c:pt idx="6">
                  <c:v>August</c:v>
                </c:pt>
                <c:pt idx="7">
                  <c:v>September</c:v>
                </c:pt>
                <c:pt idx="8">
                  <c:v>October</c:v>
                </c:pt>
                <c:pt idx="9">
                  <c:v>November</c:v>
                </c:pt>
                <c:pt idx="10">
                  <c:v>December</c:v>
                </c:pt>
                <c:pt idx="11">
                  <c:v>Monthly Subtotal</c:v>
                </c:pt>
                <c:pt idx="13">
                  <c:v>Average Expense</c:v>
                </c:pt>
              </c:strCache>
            </c:strRef>
          </c:cat>
          <c:val>
            <c:numRef>
              <c:f>Budget!$T$4:$T$17</c:f>
              <c:numCache>
                <c:formatCode>_([$$-409]* #,##0.00_);_([$$-409]* \(#,##0.00\);_([$$-409]* "-"??_);_(@_)</c:formatCode>
                <c:ptCount val="14"/>
                <c:pt idx="0">
                  <c:v>52459</c:v>
                </c:pt>
                <c:pt idx="1">
                  <c:v>49938</c:v>
                </c:pt>
                <c:pt idx="2">
                  <c:v>47472</c:v>
                </c:pt>
                <c:pt idx="3">
                  <c:v>44971</c:v>
                </c:pt>
                <c:pt idx="4">
                  <c:v>42605</c:v>
                </c:pt>
                <c:pt idx="5">
                  <c:v>40104</c:v>
                </c:pt>
                <c:pt idx="6">
                  <c:v>36163</c:v>
                </c:pt>
                <c:pt idx="7">
                  <c:v>33567</c:v>
                </c:pt>
                <c:pt idx="8">
                  <c:v>31101</c:v>
                </c:pt>
                <c:pt idx="9">
                  <c:v>28660</c:v>
                </c:pt>
                <c:pt idx="10">
                  <c:v>26079</c:v>
                </c:pt>
              </c:numCache>
            </c:numRef>
          </c:val>
          <c:extLst>
            <c:ext xmlns:c16="http://schemas.microsoft.com/office/drawing/2014/chart" uri="{C3380CC4-5D6E-409C-BE32-E72D297353CC}">
              <c16:uniqueId val="{0000001C-E12A-43EA-82A0-3732546C859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a:ea typeface="Times New Roman"/>
              <a:cs typeface="Times New Roman"/>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5</xdr:col>
      <xdr:colOff>335280</xdr:colOff>
      <xdr:row>2</xdr:row>
      <xdr:rowOff>7620</xdr:rowOff>
    </xdr:from>
    <xdr:ext cx="6118860" cy="541020"/>
    <xdr:sp macro="" textlink="">
      <xdr:nvSpPr>
        <xdr:cNvPr id="2" name="Objective">
          <a:extLst>
            <a:ext uri="{FF2B5EF4-FFF2-40B4-BE49-F238E27FC236}">
              <a16:creationId xmlns:a16="http://schemas.microsoft.com/office/drawing/2014/main" id="{ABE54DFB-A808-DD5C-8C9D-283C34DF4D3A}"/>
            </a:ext>
          </a:extLst>
        </xdr:cNvPr>
        <xdr:cNvSpPr txBox="1"/>
      </xdr:nvSpPr>
      <xdr:spPr>
        <a:xfrm>
          <a:off x="3383280" y="548640"/>
          <a:ext cx="6118860" cy="5410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US" sz="1100">
              <a:latin typeface="Calibri" panose="020F0502020204030204" pitchFamily="34" charset="0"/>
              <a:ea typeface="Calibri" panose="020F0502020204030204" pitchFamily="34" charset="0"/>
              <a:cs typeface="Calibri" panose="020F0502020204030204" pitchFamily="34" charset="0"/>
            </a:rPr>
            <a:t>To</a:t>
          </a:r>
          <a:r>
            <a:rPr lang="en-US" sz="1100" baseline="0">
              <a:latin typeface="Calibri" panose="020F0502020204030204" pitchFamily="34" charset="0"/>
              <a:ea typeface="Calibri" panose="020F0502020204030204" pitchFamily="34" charset="0"/>
              <a:cs typeface="Calibri" panose="020F0502020204030204" pitchFamily="34" charset="0"/>
            </a:rPr>
            <a:t> d</a:t>
          </a:r>
          <a:r>
            <a:rPr lang="en-US" sz="1100">
              <a:latin typeface="Calibri" panose="020F0502020204030204" pitchFamily="34" charset="0"/>
              <a:ea typeface="Calibri" panose="020F0502020204030204" pitchFamily="34" charset="0"/>
              <a:cs typeface="Calibri" panose="020F0502020204030204" pitchFamily="34" charset="0"/>
            </a:rPr>
            <a:t>evelop an interactive Excel dashboard to analyze a data analyst's household budget, monitor monthly expenses, identify</a:t>
          </a:r>
          <a:r>
            <a:rPr lang="en-US" sz="1100" baseline="0">
              <a:latin typeface="Calibri" panose="020F0502020204030204" pitchFamily="34" charset="0"/>
              <a:ea typeface="Calibri" panose="020F0502020204030204" pitchFamily="34" charset="0"/>
              <a:cs typeface="Calibri" panose="020F0502020204030204" pitchFamily="34" charset="0"/>
            </a:rPr>
            <a:t> spending trends, and evaluate savings performance.</a:t>
          </a:r>
          <a:endParaRPr lang="en-US" sz="1100">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9</xdr:col>
      <xdr:colOff>0</xdr:colOff>
      <xdr:row>6</xdr:row>
      <xdr:rowOff>0</xdr:rowOff>
    </xdr:from>
    <xdr:ext cx="1851660" cy="2369820"/>
    <xdr:sp macro="" textlink="">
      <xdr:nvSpPr>
        <xdr:cNvPr id="3" name="Skills Demostrated">
          <a:extLst>
            <a:ext uri="{FF2B5EF4-FFF2-40B4-BE49-F238E27FC236}">
              <a16:creationId xmlns:a16="http://schemas.microsoft.com/office/drawing/2014/main" id="{F62770E9-58E6-369C-CF92-EEEEB8F19219}"/>
            </a:ext>
          </a:extLst>
        </xdr:cNvPr>
        <xdr:cNvSpPr txBox="1"/>
      </xdr:nvSpPr>
      <xdr:spPr>
        <a:xfrm>
          <a:off x="5486400" y="1333500"/>
          <a:ext cx="1851660" cy="23698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171450" indent="-171450">
            <a:buFont typeface="Arial" panose="020B0604020202020204" pitchFamily="34" charset="0"/>
            <a:buChar char="•"/>
          </a:pPr>
          <a:r>
            <a:rPr lang="en-US" sz="1100">
              <a:latin typeface="Calibri" panose="020F0502020204030204" pitchFamily="34" charset="0"/>
              <a:ea typeface="Calibri" panose="020F0502020204030204" pitchFamily="34" charset="0"/>
              <a:cs typeface="Calibri" panose="020F0502020204030204" pitchFamily="34" charset="0"/>
            </a:rPr>
            <a:t>Excel Tables</a:t>
          </a:r>
        </a:p>
        <a:p>
          <a:pPr marL="171450" indent="-171450">
            <a:buFont typeface="Arial" panose="020B0604020202020204" pitchFamily="34" charset="0"/>
            <a:buChar char="•"/>
          </a:pPr>
          <a:r>
            <a:rPr lang="en-US" sz="1100">
              <a:latin typeface="Calibri" panose="020F0502020204030204" pitchFamily="34" charset="0"/>
              <a:ea typeface="Calibri" panose="020F0502020204030204" pitchFamily="34" charset="0"/>
              <a:cs typeface="Calibri" panose="020F0502020204030204" pitchFamily="34" charset="0"/>
            </a:rPr>
            <a:t>Pivot</a:t>
          </a:r>
          <a:r>
            <a:rPr lang="en-US" sz="1100" baseline="0">
              <a:latin typeface="Calibri" panose="020F0502020204030204" pitchFamily="34" charset="0"/>
              <a:ea typeface="Calibri" panose="020F0502020204030204" pitchFamily="34" charset="0"/>
              <a:cs typeface="Calibri" panose="020F0502020204030204" pitchFamily="34" charset="0"/>
            </a:rPr>
            <a:t> Tables</a:t>
          </a:r>
        </a:p>
        <a:p>
          <a:pPr marL="171450" indent="-171450">
            <a:buFont typeface="Arial" panose="020B0604020202020204" pitchFamily="34" charset="0"/>
            <a:buChar char="•"/>
          </a:pPr>
          <a:r>
            <a:rPr lang="en-US" sz="1100" baseline="0">
              <a:latin typeface="Calibri" panose="020F0502020204030204" pitchFamily="34" charset="0"/>
              <a:ea typeface="Calibri" panose="020F0502020204030204" pitchFamily="34" charset="0"/>
              <a:cs typeface="Calibri" panose="020F0502020204030204" pitchFamily="34" charset="0"/>
            </a:rPr>
            <a:t>Slicers</a:t>
          </a:r>
        </a:p>
        <a:p>
          <a:pPr marL="171450" indent="-171450">
            <a:buFont typeface="Arial" panose="020B0604020202020204" pitchFamily="34" charset="0"/>
            <a:buChar char="•"/>
          </a:pPr>
          <a:r>
            <a:rPr lang="en-US" sz="1100" baseline="0">
              <a:latin typeface="Calibri" panose="020F0502020204030204" pitchFamily="34" charset="0"/>
              <a:ea typeface="Calibri" panose="020F0502020204030204" pitchFamily="34" charset="0"/>
              <a:cs typeface="Calibri" panose="020F0502020204030204" pitchFamily="34" charset="0"/>
            </a:rPr>
            <a:t>Dashboard Design</a:t>
          </a:r>
        </a:p>
        <a:p>
          <a:pPr marL="171450" indent="-171450">
            <a:buFont typeface="Arial" panose="020B0604020202020204" pitchFamily="34" charset="0"/>
            <a:buChar char="•"/>
          </a:pPr>
          <a:r>
            <a:rPr lang="en-US" sz="1100" baseline="0">
              <a:latin typeface="Calibri" panose="020F0502020204030204" pitchFamily="34" charset="0"/>
              <a:ea typeface="Calibri" panose="020F0502020204030204" pitchFamily="34" charset="0"/>
              <a:cs typeface="Calibri" panose="020F0502020204030204" pitchFamily="34" charset="0"/>
            </a:rPr>
            <a:t>Data Cleaning</a:t>
          </a:r>
        </a:p>
        <a:p>
          <a:pPr marL="171450" indent="-171450">
            <a:buFont typeface="Arial" panose="020B0604020202020204" pitchFamily="34" charset="0"/>
            <a:buChar char="•"/>
          </a:pPr>
          <a:r>
            <a:rPr lang="en-US" sz="1100" baseline="0">
              <a:latin typeface="Calibri" panose="020F0502020204030204" pitchFamily="34" charset="0"/>
              <a:ea typeface="Calibri" panose="020F0502020204030204" pitchFamily="34" charset="0"/>
              <a:cs typeface="Calibri" panose="020F0502020204030204" pitchFamily="34" charset="0"/>
            </a:rPr>
            <a:t>Conditional Formatting</a:t>
          </a:r>
        </a:p>
        <a:p>
          <a:pPr marL="171450" indent="-171450">
            <a:buFont typeface="Arial" panose="020B0604020202020204" pitchFamily="34" charset="0"/>
            <a:buChar char="•"/>
          </a:pPr>
          <a:r>
            <a:rPr lang="en-US" sz="1100" baseline="0">
              <a:latin typeface="Calibri" panose="020F0502020204030204" pitchFamily="34" charset="0"/>
              <a:ea typeface="Calibri" panose="020F0502020204030204" pitchFamily="34" charset="0"/>
              <a:cs typeface="Calibri" panose="020F0502020204030204" pitchFamily="34" charset="0"/>
            </a:rPr>
            <a:t>KPI Development</a:t>
          </a:r>
        </a:p>
        <a:p>
          <a:pPr marL="171450" indent="-171450">
            <a:buFont typeface="Arial" panose="020B0604020202020204" pitchFamily="34" charset="0"/>
            <a:buChar char="•"/>
          </a:pPr>
          <a:r>
            <a:rPr lang="en-US" sz="1100" baseline="0">
              <a:latin typeface="Calibri" panose="020F0502020204030204" pitchFamily="34" charset="0"/>
              <a:ea typeface="Calibri" panose="020F0502020204030204" pitchFamily="34" charset="0"/>
              <a:cs typeface="Calibri" panose="020F0502020204030204" pitchFamily="34" charset="0"/>
            </a:rPr>
            <a:t>Data Visualization</a:t>
          </a:r>
        </a:p>
        <a:p>
          <a:pPr marL="171450" indent="-171450">
            <a:buFont typeface="Arial" panose="020B0604020202020204" pitchFamily="34" charset="0"/>
            <a:buChar char="•"/>
          </a:pPr>
          <a:r>
            <a:rPr lang="en-US" sz="1100" baseline="0">
              <a:latin typeface="Calibri" panose="020F0502020204030204" pitchFamily="34" charset="0"/>
              <a:ea typeface="Calibri" panose="020F0502020204030204" pitchFamily="34" charset="0"/>
              <a:cs typeface="Calibri" panose="020F0502020204030204" pitchFamily="34" charset="0"/>
            </a:rPr>
            <a:t>Percentages</a:t>
          </a:r>
        </a:p>
        <a:p>
          <a:pPr marL="171450" indent="-171450">
            <a:buFont typeface="Arial" panose="020B0604020202020204" pitchFamily="34" charset="0"/>
            <a:buChar char="•"/>
          </a:pPr>
          <a:r>
            <a:rPr lang="en-US" sz="1100" baseline="0">
              <a:latin typeface="Calibri" panose="020F0502020204030204" pitchFamily="34" charset="0"/>
              <a:ea typeface="Calibri" panose="020F0502020204030204" pitchFamily="34" charset="0"/>
              <a:cs typeface="Calibri" panose="020F0502020204030204" pitchFamily="34" charset="0"/>
            </a:rPr>
            <a:t>SUM/AVG</a:t>
          </a:r>
        </a:p>
        <a:p>
          <a:pPr marL="171450" indent="-171450">
            <a:buFont typeface="Arial" panose="020B0604020202020204" pitchFamily="34" charset="0"/>
            <a:buChar char="•"/>
          </a:pPr>
          <a:r>
            <a:rPr lang="en-US" sz="1100" baseline="0">
              <a:latin typeface="Calibri" panose="020F0502020204030204" pitchFamily="34" charset="0"/>
              <a:ea typeface="Calibri" panose="020F0502020204030204" pitchFamily="34" charset="0"/>
              <a:cs typeface="Calibri" panose="020F0502020204030204" pitchFamily="34" charset="0"/>
            </a:rPr>
            <a:t>FILTER</a:t>
          </a:r>
        </a:p>
        <a:p>
          <a:pPr marL="171450" indent="-171450">
            <a:buFont typeface="Arial" panose="020B0604020202020204" pitchFamily="34" charset="0"/>
            <a:buChar char="•"/>
          </a:pPr>
          <a:r>
            <a:rPr lang="en-US" sz="1100" baseline="0">
              <a:latin typeface="Calibri" panose="020F0502020204030204" pitchFamily="34" charset="0"/>
              <a:ea typeface="Calibri" panose="020F0502020204030204" pitchFamily="34" charset="0"/>
              <a:cs typeface="Calibri" panose="020F0502020204030204" pitchFamily="34" charset="0"/>
            </a:rPr>
            <a:t>XLOOKUP</a:t>
          </a:r>
        </a:p>
        <a:p>
          <a:pPr marL="171450" indent="-171450">
            <a:buFont typeface="Arial" panose="020B0604020202020204" pitchFamily="34" charset="0"/>
            <a:buChar char="•"/>
          </a:pPr>
          <a:r>
            <a:rPr lang="en-US" sz="1100" baseline="0">
              <a:latin typeface="Calibri" panose="020F0502020204030204" pitchFamily="34" charset="0"/>
              <a:ea typeface="Calibri" panose="020F0502020204030204" pitchFamily="34" charset="0"/>
              <a:cs typeface="Calibri" panose="020F0502020204030204" pitchFamily="34" charset="0"/>
            </a:rPr>
            <a:t>IF</a:t>
          </a:r>
        </a:p>
        <a:p>
          <a:pPr marL="171450" indent="-171450">
            <a:buFont typeface="Arial" panose="020B0604020202020204" pitchFamily="34" charset="0"/>
            <a:buChar char="•"/>
          </a:pPr>
          <a:endParaRPr lang="en-US" sz="1100" baseline="0"/>
        </a:p>
      </xdr:txBody>
    </xdr:sp>
    <xdr:clientData/>
  </xdr:oneCellAnchor>
  <xdr:oneCellAnchor>
    <xdr:from>
      <xdr:col>5</xdr:col>
      <xdr:colOff>327660</xdr:colOff>
      <xdr:row>20</xdr:row>
      <xdr:rowOff>1</xdr:rowOff>
    </xdr:from>
    <xdr:ext cx="6217920" cy="1112520"/>
    <xdr:sp macro="" textlink="">
      <xdr:nvSpPr>
        <xdr:cNvPr id="4" name="Key Insights">
          <a:extLst>
            <a:ext uri="{FF2B5EF4-FFF2-40B4-BE49-F238E27FC236}">
              <a16:creationId xmlns:a16="http://schemas.microsoft.com/office/drawing/2014/main" id="{8A6B0F18-54EF-CBF2-038A-14E1506578F7}"/>
            </a:ext>
          </a:extLst>
        </xdr:cNvPr>
        <xdr:cNvSpPr txBox="1"/>
      </xdr:nvSpPr>
      <xdr:spPr>
        <a:xfrm>
          <a:off x="3375660" y="3954781"/>
          <a:ext cx="6217920" cy="11125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171450" indent="-171450">
            <a:buFont typeface="Arial" panose="020B0604020202020204" pitchFamily="34" charset="0"/>
            <a:buChar char="•"/>
          </a:pPr>
          <a:r>
            <a:rPr lang="en-US" sz="1100">
              <a:solidFill>
                <a:schemeClr val="tx1"/>
              </a:solidFill>
              <a:effectLst/>
              <a:latin typeface="Calibri" panose="020F0502020204030204" pitchFamily="34" charset="0"/>
              <a:ea typeface="Calibri" panose="020F0502020204030204" pitchFamily="34" charset="0"/>
              <a:cs typeface="Calibri" panose="020F0502020204030204" pitchFamily="34" charset="0"/>
            </a:rPr>
            <a:t>Highest</a:t>
          </a:r>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spending month: August ($3,941)</a:t>
          </a:r>
        </a:p>
        <a:p>
          <a:pPr marL="171450" indent="-171450">
            <a:buFont typeface="Arial" panose="020B0604020202020204" pitchFamily="34" charset="0"/>
            <a:buChar char="•"/>
          </a:pPr>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Lowest spending month: June ($2,366)</a:t>
          </a:r>
        </a:p>
        <a:p>
          <a:pPr marL="171450" indent="-171450">
            <a:buFont typeface="Arial" panose="020B0604020202020204" pitchFamily="34" charset="0"/>
            <a:buChar char="•"/>
          </a:pPr>
          <a:r>
            <a:rPr lang="en-US" sz="1100">
              <a:solidFill>
                <a:schemeClr val="tx1"/>
              </a:solidFill>
              <a:effectLst/>
              <a:latin typeface="Calibri" panose="020F0502020204030204" pitchFamily="34" charset="0"/>
              <a:ea typeface="Calibri" panose="020F0502020204030204" pitchFamily="34" charset="0"/>
              <a:cs typeface="Calibri" panose="020F0502020204030204" pitchFamily="34" charset="0"/>
            </a:rPr>
            <a:t>Rent</a:t>
          </a:r>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represented 64% of annual expenses.</a:t>
          </a:r>
        </a:p>
        <a:p>
          <a:pPr marL="171450" indent="-171450">
            <a:buFont typeface="Arial" panose="020B0604020202020204" pitchFamily="34" charset="0"/>
            <a:buChar char="•"/>
          </a:pPr>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Savings were negative in August due to the rise in gas, grocery, and dining out expenses.</a:t>
          </a:r>
        </a:p>
        <a:p>
          <a:pPr marL="171450" indent="-171450">
            <a:buFont typeface="Arial" panose="020B0604020202020204" pitchFamily="34" charset="0"/>
            <a:buChar char="•"/>
          </a:pPr>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Savings rate for the year was 33%</a:t>
          </a:r>
          <a:endParaRPr lang="en-US">
            <a:effectLst/>
            <a:latin typeface="Calibri" panose="020F0502020204030204" pitchFamily="34" charset="0"/>
            <a:ea typeface="Calibri" panose="020F0502020204030204" pitchFamily="34" charset="0"/>
            <a:cs typeface="Calibri" panose="020F0502020204030204" pitchFamily="34" charset="0"/>
          </a:endParaRP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14</xdr:col>
      <xdr:colOff>0</xdr:colOff>
      <xdr:row>24</xdr:row>
      <xdr:rowOff>152400</xdr:rowOff>
    </xdr:from>
    <xdr:to>
      <xdr:col>21</xdr:col>
      <xdr:colOff>22860</xdr:colOff>
      <xdr:row>38</xdr:row>
      <xdr:rowOff>175260</xdr:rowOff>
    </xdr:to>
    <xdr:graphicFrame macro="">
      <xdr:nvGraphicFramePr>
        <xdr:cNvPr id="3" name="Savings Trend">
          <a:extLst>
            <a:ext uri="{FF2B5EF4-FFF2-40B4-BE49-F238E27FC236}">
              <a16:creationId xmlns:a16="http://schemas.microsoft.com/office/drawing/2014/main" id="{DE8F55E1-FF3D-1863-314B-6F91DBE56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601980</xdr:colOff>
      <xdr:row>11</xdr:row>
      <xdr:rowOff>7620</xdr:rowOff>
    </xdr:from>
    <xdr:to>
      <xdr:col>9</xdr:col>
      <xdr:colOff>30480</xdr:colOff>
      <xdr:row>24</xdr:row>
      <xdr:rowOff>0</xdr:rowOff>
    </xdr:to>
    <xdr:graphicFrame macro="">
      <xdr:nvGraphicFramePr>
        <xdr:cNvPr id="4" name="Monthly Expenses">
          <a:extLst>
            <a:ext uri="{FF2B5EF4-FFF2-40B4-BE49-F238E27FC236}">
              <a16:creationId xmlns:a16="http://schemas.microsoft.com/office/drawing/2014/main" id="{2EF5F72E-0E5B-65E6-D06F-B960BE1CE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11</xdr:row>
      <xdr:rowOff>7620</xdr:rowOff>
    </xdr:from>
    <xdr:to>
      <xdr:col>21</xdr:col>
      <xdr:colOff>7620</xdr:colOff>
      <xdr:row>24</xdr:row>
      <xdr:rowOff>30480</xdr:rowOff>
    </xdr:to>
    <xdr:graphicFrame macro="">
      <xdr:nvGraphicFramePr>
        <xdr:cNvPr id="5" name="Expense Category">
          <a:extLst>
            <a:ext uri="{FF2B5EF4-FFF2-40B4-BE49-F238E27FC236}">
              <a16:creationId xmlns:a16="http://schemas.microsoft.com/office/drawing/2014/main" id="{BCBC9AF3-0077-B9F4-024E-DC9F64F8B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601980</xdr:colOff>
      <xdr:row>24</xdr:row>
      <xdr:rowOff>171450</xdr:rowOff>
    </xdr:from>
    <xdr:to>
      <xdr:col>9</xdr:col>
      <xdr:colOff>45720</xdr:colOff>
      <xdr:row>39</xdr:row>
      <xdr:rowOff>7620</xdr:rowOff>
    </xdr:to>
    <xdr:graphicFrame macro="">
      <xdr:nvGraphicFramePr>
        <xdr:cNvPr id="6" name="Total Monthly Expense">
          <a:extLst>
            <a:ext uri="{FF2B5EF4-FFF2-40B4-BE49-F238E27FC236}">
              <a16:creationId xmlns:a16="http://schemas.microsoft.com/office/drawing/2014/main" id="{92D2CA29-82EE-2FAC-BF41-0ED87E155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929640</xdr:colOff>
      <xdr:row>3</xdr:row>
      <xdr:rowOff>0</xdr:rowOff>
    </xdr:from>
    <xdr:to>
      <xdr:col>6</xdr:col>
      <xdr:colOff>586740</xdr:colOff>
      <xdr:row>14</xdr:row>
      <xdr:rowOff>0</xdr:rowOff>
    </xdr:to>
    <mc:AlternateContent xmlns:mc="http://schemas.openxmlformats.org/markup-compatibility/2006" xmlns:sle15="http://schemas.microsoft.com/office/drawing/2012/slicer">
      <mc:Choice Requires="sle15">
        <xdr:graphicFrame macro="">
          <xdr:nvGraphicFramePr>
            <xdr:cNvPr id="2" name="Monthly Expenses">
              <a:extLst>
                <a:ext uri="{FF2B5EF4-FFF2-40B4-BE49-F238E27FC236}">
                  <a16:creationId xmlns:a16="http://schemas.microsoft.com/office/drawing/2014/main" id="{550B7733-EAFE-1866-310E-9B3FB6457A07}"/>
                </a:ext>
              </a:extLst>
            </xdr:cNvPr>
            <xdr:cNvGraphicFramePr/>
          </xdr:nvGraphicFramePr>
          <xdr:xfrm>
            <a:off x="0" y="0"/>
            <a:ext cx="0" cy="0"/>
          </xdr:xfrm>
          <a:graphic>
            <a:graphicData uri="http://schemas.microsoft.com/office/drawing/2010/slicer">
              <sle:slicer xmlns:sle="http://schemas.microsoft.com/office/drawing/2010/slicer" name="Monthly Expenses"/>
            </a:graphicData>
          </a:graphic>
        </xdr:graphicFrame>
      </mc:Choice>
      <mc:Fallback xmlns="">
        <xdr:sp macro="" textlink="">
          <xdr:nvSpPr>
            <xdr:cNvPr id="0" name=""/>
            <xdr:cNvSpPr>
              <a:spLocks noTextEdit="1"/>
            </xdr:cNvSpPr>
          </xdr:nvSpPr>
          <xdr:spPr>
            <a:xfrm>
              <a:off x="4495800" y="609600"/>
              <a:ext cx="2514600" cy="20116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297180</xdr:colOff>
      <xdr:row>2</xdr:row>
      <xdr:rowOff>0</xdr:rowOff>
    </xdr:from>
    <xdr:to>
      <xdr:col>12</xdr:col>
      <xdr:colOff>601980</xdr:colOff>
      <xdr:row>16</xdr:row>
      <xdr:rowOff>0</xdr:rowOff>
    </xdr:to>
    <xdr:graphicFrame macro="">
      <xdr:nvGraphicFramePr>
        <xdr:cNvPr id="2" name="Total Expense">
          <a:extLst>
            <a:ext uri="{FF2B5EF4-FFF2-40B4-BE49-F238E27FC236}">
              <a16:creationId xmlns:a16="http://schemas.microsoft.com/office/drawing/2014/main" id="{857A159F-282C-406F-5C6D-21D4FC619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297180</xdr:colOff>
      <xdr:row>16</xdr:row>
      <xdr:rowOff>7620</xdr:rowOff>
    </xdr:from>
    <xdr:to>
      <xdr:col>12</xdr:col>
      <xdr:colOff>601980</xdr:colOff>
      <xdr:row>29</xdr:row>
      <xdr:rowOff>45720</xdr:rowOff>
    </xdr:to>
    <xdr:graphicFrame macro="">
      <xdr:nvGraphicFramePr>
        <xdr:cNvPr id="5" name="Expenses vs Savings">
          <a:extLst>
            <a:ext uri="{FF2B5EF4-FFF2-40B4-BE49-F238E27FC236}">
              <a16:creationId xmlns:a16="http://schemas.microsoft.com/office/drawing/2014/main" id="{10F815F0-E874-7F8E-0BE2-E0239BCB0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297180</xdr:colOff>
      <xdr:row>2</xdr:row>
      <xdr:rowOff>22861</xdr:rowOff>
    </xdr:from>
    <xdr:to>
      <xdr:col>5</xdr:col>
      <xdr:colOff>137160</xdr:colOff>
      <xdr:row>15</xdr:row>
      <xdr:rowOff>1</xdr:rowOff>
    </xdr:to>
    <mc:AlternateContent xmlns:mc="http://schemas.openxmlformats.org/markup-compatibility/2006" xmlns:a14="http://schemas.microsoft.com/office/drawing/2010/main">
      <mc:Choice Requires="a14">
        <xdr:graphicFrame macro="">
          <xdr:nvGraphicFramePr>
            <xdr:cNvPr id="9" name="Monthly Expenses 1">
              <a:extLst>
                <a:ext uri="{FF2B5EF4-FFF2-40B4-BE49-F238E27FC236}">
                  <a16:creationId xmlns:a16="http://schemas.microsoft.com/office/drawing/2014/main" id="{2B35F544-FC2D-3D19-1795-464A807CAD4A}"/>
                </a:ext>
              </a:extLst>
            </xdr:cNvPr>
            <xdr:cNvGraphicFramePr/>
          </xdr:nvGraphicFramePr>
          <xdr:xfrm>
            <a:off x="0" y="0"/>
            <a:ext cx="0" cy="0"/>
          </xdr:xfrm>
          <a:graphic>
            <a:graphicData uri="http://schemas.microsoft.com/office/drawing/2010/slicer">
              <sle:slicer xmlns:sle="http://schemas.microsoft.com/office/drawing/2010/slicer" name="Monthly Expenses 1"/>
            </a:graphicData>
          </a:graphic>
        </xdr:graphicFrame>
      </mc:Choice>
      <mc:Fallback xmlns="">
        <xdr:sp macro="" textlink="">
          <xdr:nvSpPr>
            <xdr:cNvPr id="0" name=""/>
            <xdr:cNvSpPr>
              <a:spLocks noTextEdit="1"/>
            </xdr:cNvSpPr>
          </xdr:nvSpPr>
          <xdr:spPr>
            <a:xfrm>
              <a:off x="2301240" y="396241"/>
              <a:ext cx="1828800" cy="2354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333375</xdr:colOff>
      <xdr:row>17</xdr:row>
      <xdr:rowOff>0</xdr:rowOff>
    </xdr:to>
    <xdr:graphicFrame macro="">
      <xdr:nvGraphicFramePr>
        <xdr:cNvPr id="3" name="Chart 2">
          <a:extLst>
            <a:ext uri="{FF2B5EF4-FFF2-40B4-BE49-F238E27FC236}">
              <a16:creationId xmlns:a16="http://schemas.microsoft.com/office/drawing/2014/main" id="{DB41D515-6DFB-459D-915A-B1AE9929B388}"/>
            </a:ext>
            <a:ext uri="{147F2762-F138-4A5C-976F-8EAC2B608ADB}">
              <a16:predDERef xmlns:a16="http://schemas.microsoft.com/office/drawing/2014/main" pred="{D080E8D4-53F1-97EE-2873-C24BC54F0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ta 💕" refreshedDate="46238.683032870373" createdVersion="8" refreshedVersion="8" minRefreshableVersion="3" recordCount="11" xr:uid="{B27AC6D9-A82E-45E1-9197-EA7FF5716ACA}">
  <cacheSource type="worksheet">
    <worksheetSource name="Monthly_Expenses"/>
  </cacheSource>
  <cacheFields count="11">
    <cacheField name="Monthly Expenses" numFmtId="0">
      <sharedItems count="11">
        <s v="January"/>
        <s v="February"/>
        <s v="March"/>
        <s v="April"/>
        <s v="June"/>
        <s v="July"/>
        <s v="August"/>
        <s v="September"/>
        <s v="October"/>
        <s v="November"/>
        <s v="December"/>
      </sharedItems>
    </cacheField>
    <cacheField name="Electricity Bill" numFmtId="44">
      <sharedItems containsSemiMixedTypes="0" containsString="0" containsNumber="1" containsInteger="1" minValue="140" maxValue="350"/>
    </cacheField>
    <cacheField name="Rent" numFmtId="44">
      <sharedItems containsSemiMixedTypes="0" containsString="0" containsNumber="1" containsInteger="1" minValue="1676" maxValue="1676"/>
    </cacheField>
    <cacheField name="Phone Bill" numFmtId="44">
      <sharedItems containsSemiMixedTypes="0" containsString="0" containsNumber="1" containsInteger="1" minValue="45" maxValue="100"/>
    </cacheField>
    <cacheField name="Car Insurance" numFmtId="44">
      <sharedItems containsSemiMixedTypes="0" containsString="0" containsNumber="1" containsInteger="1" minValue="105" maxValue="150"/>
    </cacheField>
    <cacheField name="Water Bill" numFmtId="44">
      <sharedItems containsSemiMixedTypes="0" containsString="0" containsNumber="1" containsInteger="1" minValue="85" maxValue="240"/>
    </cacheField>
    <cacheField name="Grocery Bill" numFmtId="44">
      <sharedItems containsSemiMixedTypes="0" containsString="0" containsNumber="1" containsInteger="1" minValue="140" maxValue="560"/>
    </cacheField>
    <cacheField name="Gas" numFmtId="44">
      <sharedItems containsSemiMixedTypes="0" containsString="0" containsNumber="1" containsInteger="1" minValue="95" maxValue="365"/>
    </cacheField>
    <cacheField name="Dining Out" numFmtId="44">
      <sharedItems containsSemiMixedTypes="0" containsString="0" containsNumber="1" containsInteger="1" minValue="0" maxValue="500"/>
    </cacheField>
    <cacheField name="Total Monthly Expense" numFmtId="44">
      <sharedItems containsSemiMixedTypes="0" containsString="0" containsNumber="1" containsInteger="1" minValue="2366" maxValue="3941"/>
    </cacheField>
    <cacheField name="Net Savings" numFmtId="44">
      <sharedItems containsSemiMixedTypes="0" containsString="0" containsNumber="1" minValue="-7.5599999999999454" maxValue="1567.44"/>
    </cacheField>
  </cacheFields>
  <extLst>
    <ext xmlns:x14="http://schemas.microsoft.com/office/spreadsheetml/2009/9/main" uri="{725AE2AE-9491-48be-B2B4-4EB974FC3084}">
      <x14:pivotCacheDefinition pivotCacheId="48329579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160"/>
    <n v="1676"/>
    <n v="45"/>
    <n v="105"/>
    <n v="90"/>
    <n v="170"/>
    <n v="95"/>
    <n v="200"/>
    <n v="2541"/>
    <n v="1392.44"/>
  </r>
  <r>
    <x v="1"/>
    <n v="160"/>
    <n v="1676"/>
    <n v="45"/>
    <n v="105"/>
    <n v="90"/>
    <n v="230"/>
    <n v="95"/>
    <n v="120"/>
    <n v="2521"/>
    <n v="1412.44"/>
  </r>
  <r>
    <x v="2"/>
    <n v="160"/>
    <n v="1676"/>
    <n v="45"/>
    <n v="105"/>
    <n v="85"/>
    <n v="200"/>
    <n v="95"/>
    <n v="100"/>
    <n v="2466"/>
    <n v="1467.44"/>
  </r>
  <r>
    <x v="3"/>
    <n v="150"/>
    <n v="1676"/>
    <n v="45"/>
    <n v="120"/>
    <n v="85"/>
    <n v="170"/>
    <n v="95"/>
    <n v="160"/>
    <n v="2501"/>
    <n v="1432.44"/>
  </r>
  <r>
    <x v="4"/>
    <n v="165"/>
    <n v="1676"/>
    <n v="55"/>
    <n v="120"/>
    <n v="85"/>
    <n v="170"/>
    <n v="95"/>
    <n v="0"/>
    <n v="2366"/>
    <n v="1567.44"/>
  </r>
  <r>
    <x v="5"/>
    <n v="140"/>
    <n v="1676"/>
    <n v="45"/>
    <n v="105"/>
    <n v="90"/>
    <n v="150"/>
    <n v="95"/>
    <n v="200"/>
    <n v="2501"/>
    <n v="1432.44"/>
  </r>
  <r>
    <x v="6"/>
    <n v="350"/>
    <n v="1676"/>
    <n v="100"/>
    <n v="150"/>
    <n v="240"/>
    <n v="560"/>
    <n v="365"/>
    <n v="500"/>
    <n v="3941"/>
    <n v="-7.5599999999999454"/>
  </r>
  <r>
    <x v="7"/>
    <n v="160"/>
    <n v="1676"/>
    <n v="45"/>
    <n v="105"/>
    <n v="95"/>
    <n v="170"/>
    <n v="95"/>
    <n v="250"/>
    <n v="2596"/>
    <n v="1337.44"/>
  </r>
  <r>
    <x v="8"/>
    <n v="160"/>
    <n v="1676"/>
    <n v="45"/>
    <n v="105"/>
    <n v="90"/>
    <n v="140"/>
    <n v="95"/>
    <n v="155"/>
    <n v="2466"/>
    <n v="1467.44"/>
  </r>
  <r>
    <x v="9"/>
    <n v="150"/>
    <n v="1676"/>
    <n v="45"/>
    <n v="105"/>
    <n v="90"/>
    <n v="205"/>
    <n v="95"/>
    <n v="75"/>
    <n v="2441"/>
    <n v="1492.44"/>
  </r>
  <r>
    <x v="10"/>
    <n v="200"/>
    <n v="1676"/>
    <n v="45"/>
    <n v="105"/>
    <n v="90"/>
    <n v="170"/>
    <n v="95"/>
    <n v="200"/>
    <n v="2581"/>
    <n v="1352.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DD07E0-7AE2-4927-981E-EBCA32BE16C3}" name="Expense vs Savin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location ref="A17:C29" firstHeaderRow="0" firstDataRow="1" firstDataCol="1"/>
  <pivotFields count="11">
    <pivotField axis="axisRow" showAll="0">
      <items count="12">
        <item x="0"/>
        <item x="1"/>
        <item x="2"/>
        <item x="3"/>
        <item x="4"/>
        <item x="5"/>
        <item x="6"/>
        <item x="7"/>
        <item x="8"/>
        <item x="9"/>
        <item x="10"/>
        <item t="default"/>
      </items>
    </pivotField>
    <pivotField numFmtId="44" showAll="0"/>
    <pivotField numFmtId="44" showAll="0"/>
    <pivotField numFmtId="44" showAll="0"/>
    <pivotField numFmtId="44" showAll="0"/>
    <pivotField numFmtId="44" showAll="0"/>
    <pivotField numFmtId="44" showAll="0"/>
    <pivotField numFmtId="44" showAll="0"/>
    <pivotField numFmtId="44" showAll="0"/>
    <pivotField dataField="1" numFmtId="44" showAll="0"/>
    <pivotField dataField="1" numFmtId="44"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 Total Monthly Expense" fld="9" baseField="0" baseItem="0" numFmtId="44"/>
    <dataField name=" Net Savings" fld="10" baseField="0" baseItem="0" numFmtId="44"/>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5C4813-4CBE-4BBB-84F8-B89BD7805E91}" name="Monthly Expens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Month">
  <location ref="A3:B15" firstHeaderRow="1" firstDataRow="1" firstDataCol="1"/>
  <pivotFields count="11">
    <pivotField axis="axisRow" showAll="0">
      <items count="12">
        <item x="0"/>
        <item x="1"/>
        <item x="2"/>
        <item x="3"/>
        <item x="4"/>
        <item x="5"/>
        <item x="6"/>
        <item x="7"/>
        <item x="8"/>
        <item x="9"/>
        <item x="10"/>
        <item t="default"/>
      </items>
    </pivotField>
    <pivotField numFmtId="44" showAll="0"/>
    <pivotField numFmtId="44" showAll="0"/>
    <pivotField numFmtId="44" showAll="0"/>
    <pivotField numFmtId="44" showAll="0"/>
    <pivotField numFmtId="44" showAll="0"/>
    <pivotField numFmtId="44" showAll="0"/>
    <pivotField numFmtId="44" showAll="0"/>
    <pivotField numFmtId="44" showAll="0"/>
    <pivotField dataField="1" numFmtId="44" showAll="0"/>
    <pivotField numFmtId="44" showAll="0"/>
  </pivotFields>
  <rowFields count="1">
    <field x="0"/>
  </rowFields>
  <rowItems count="12">
    <i>
      <x/>
    </i>
    <i>
      <x v="1"/>
    </i>
    <i>
      <x v="2"/>
    </i>
    <i>
      <x v="3"/>
    </i>
    <i>
      <x v="4"/>
    </i>
    <i>
      <x v="5"/>
    </i>
    <i>
      <x v="6"/>
    </i>
    <i>
      <x v="7"/>
    </i>
    <i>
      <x v="8"/>
    </i>
    <i>
      <x v="9"/>
    </i>
    <i>
      <x v="10"/>
    </i>
    <i t="grand">
      <x/>
    </i>
  </rowItems>
  <colItems count="1">
    <i/>
  </colItems>
  <dataFields count="1">
    <dataField name="Monthly Expense " fld="9" baseField="0" baseItem="0" numFmtId="44"/>
  </dataFields>
  <chartFormats count="1">
    <chartFormat chart="0"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DD07E0-7AE2-4927-981E-EBCA32BE16C3}" name="PivotTable2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7" firstHeaderRow="0" firstDataRow="0" firstDataCol="0"/>
  <pivotFields count="11">
    <pivotField axis="axisRow" showAll="0">
      <items count="12">
        <item x="0"/>
        <item x="1"/>
        <item x="2"/>
        <item x="3"/>
        <item x="4"/>
        <item x="5"/>
        <item x="6"/>
        <item x="7"/>
        <item x="8"/>
        <item x="9"/>
        <item x="10"/>
        <item t="default"/>
      </items>
    </pivotField>
    <pivotField numFmtId="44" showAll="0"/>
    <pivotField numFmtId="44" showAll="0"/>
    <pivotField numFmtId="44" showAll="0"/>
    <pivotField numFmtId="44" showAll="0"/>
    <pivotField numFmtId="44" showAll="0"/>
    <pivotField numFmtId="44" showAll="0"/>
    <pivotField numFmtId="44" showAll="0"/>
    <pivotField numFmtId="44" showAll="0"/>
    <pivotField dataField="1" numFmtId="44" showAll="0"/>
    <pivotField dataField="1" numFmtId="44"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Total Monthly Expense" fld="9" baseField="0" baseItem="0" numFmtId="44"/>
    <dataField name="Sum of Net Savings" fld="10" baseField="0" baseItem="0" numFmtId="44"/>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Expenses1" xr10:uid="{65C30B15-FC7C-43F7-A03B-26C86F737161}" sourceName="Monthly Expenses">
  <pivotTables>
    <pivotTable tabId="7" name="Expense vs Savings"/>
    <pivotTable tabId="7" name="Monthly Expense"/>
  </pivotTables>
  <data>
    <tabular pivotCacheId="483295790">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Expenses" xr10:uid="{8ACFC90D-A292-438C-9355-68E48C73A826}" sourceName="Monthly Expenses">
  <extLst>
    <x:ext xmlns:x15="http://schemas.microsoft.com/office/spreadsheetml/2010/11/main" uri="{2F2917AC-EB37-4324-AD4E-5DD8C200BD13}">
      <x15:tableSlicerCache tableId="9"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 Expenses" xr10:uid="{8DBDB3AC-FFD5-4F66-9657-803A0C297418}" cache="Slicer_Monthly_Expenses" caption="Monthly Expenses" columnCount="3" style="SlicerStyleOther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 Expenses 1" xr10:uid="{F48873A8-F30D-4662-8DAA-3536DCC933A3}" cache="Slicer_Monthly_Expenses1" caption="Monthly Expenses" columnCount="2"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75CE85-3B5C-4854-A96B-7DDA625B1293}" name="Table1" displayName="Table1" ref="G2:T17" totalsRowShown="0" headerRowDxfId="22" tableBorderDxfId="21" headerRowCellStyle="60% - Accent3">
  <autoFilter ref="G2:T17" xr:uid="{ED75CE85-3B5C-4854-A96B-7DDA625B1293}"/>
  <tableColumns count="14">
    <tableColumn id="1" xr3:uid="{E8E927A6-3C81-4E76-9ABB-4C4F5343DA4A}" name="Monthly Expenses"/>
    <tableColumn id="2" xr3:uid="{C4A91806-D474-4D64-9A65-09AD2FFCA260}" name="Column1"/>
    <tableColumn id="3" xr3:uid="{23568170-A19E-460F-9F4F-77182169C410}" name="Column2"/>
    <tableColumn id="4" xr3:uid="{94138154-98B2-49F1-89A8-A42143657FB1}" name="Column3"/>
    <tableColumn id="5" xr3:uid="{6C13FBEE-C934-4F92-BD46-5BA05B326C87}" name="Column4"/>
    <tableColumn id="6" xr3:uid="{94B16F61-4C06-4A55-B1B4-5C2AC9D8B933}" name="Column5"/>
    <tableColumn id="7" xr3:uid="{D3D9EFCD-55BE-4F05-A8A2-1349DF5A3B57}" name="Column6"/>
    <tableColumn id="8" xr3:uid="{60028FCB-5317-464E-A8B1-8D289F950922}" name="Column7"/>
    <tableColumn id="9" xr3:uid="{4A41DDD1-FB89-4BC6-88F5-3E3B46B8D699}" name="Column8"/>
    <tableColumn id="10" xr3:uid="{1019DF36-4AA4-4A1B-8D79-3E94DCC103D1}" name="Column9"/>
    <tableColumn id="11" xr3:uid="{71D7A4F4-DBCC-457B-BED0-7329D6BBACFA}" name="Column10"/>
    <tableColumn id="12" xr3:uid="{4C148042-3AAB-49E6-B78E-F356E7386722}" name="Column11"/>
    <tableColumn id="13" xr3:uid="{027A3D93-881B-4875-B0D2-A92DBFF807A1}" name="Column12"/>
    <tableColumn id="14" xr3:uid="{4AA58ED6-20D4-4727-B83A-F7178E2DDFF6}" name="Column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F9B4D9-272C-4E80-B218-49EA471A4792}" name="Table5" displayName="Table5" ref="A2:F7" totalsRowShown="0" headerRowDxfId="20" headerRowBorderDxfId="19" tableBorderDxfId="18">
  <autoFilter ref="A2:F7" xr:uid="{BBF9B4D9-272C-4E80-B218-49EA471A4792}"/>
  <tableColumns count="6">
    <tableColumn id="1" xr3:uid="{CAD0C32E-A315-4BD9-A79D-1AE4B87556E1}" name="Data Analyst in Fort Lauderdale, FL"/>
    <tableColumn id="2" xr3:uid="{9EBC9940-8213-49B4-8E5B-4E32ECB56A17}" name="Column1"/>
    <tableColumn id="3" xr3:uid="{6668A5BC-CB61-41A9-B930-1890C7411AC6}" name="Column2"/>
    <tableColumn id="4" xr3:uid="{5EAAEC5A-08E5-4F02-926F-0CA7FFA4B935}" name="Column3" dataDxfId="17"/>
    <tableColumn id="5" xr3:uid="{529853C5-220B-4F83-B231-DB4CD3BBC0E2}" name="Column4" dataDxfId="16"/>
    <tableColumn id="6" xr3:uid="{123FA222-C335-43FF-8F84-196D678F25E9}" name="Column5"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66505AD-7AAB-4C04-9FE2-199E9424D532}" name="Table58" displayName="Table58" ref="A1:F6" totalsRowShown="0" headerRowCellStyle="Normal" dataCellStyle="Normal">
  <autoFilter ref="A1:F6" xr:uid="{066505AD-7AAB-4C04-9FE2-199E9424D532}"/>
  <tableColumns count="6">
    <tableColumn id="1" xr3:uid="{5C938422-D6A9-44E4-B7A8-56D2F5203740}" name="Data Analyst in Fort Lauderdale, FL" dataCellStyle="Normal"/>
    <tableColumn id="2" xr3:uid="{F2FF8642-4B96-4047-B36B-0178AA135D14}" name="Column1" dataCellStyle="Normal"/>
    <tableColumn id="3" xr3:uid="{24E211E6-FEA3-4DE0-AF47-69764B31B920}" name="Column2" dataCellStyle="Normal"/>
    <tableColumn id="4" xr3:uid="{DB34889C-40D4-4739-B483-E914002E5659}" name="Column3" dataCellStyle="Normal"/>
    <tableColumn id="5" xr3:uid="{B09B0E69-0807-45B4-B9FD-64780C936604}" name="Column4" dataCellStyle="Normal"/>
    <tableColumn id="6" xr3:uid="{E48286CB-1E2E-4705-9EBD-7A7EFF07B81C}" name="Column5" dataCellStyle="Norma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33CED8-FE7C-4154-98D4-54BCEEEEB489}" name="Monthly_Expenses" displayName="Monthly_Expenses" ref="A15:K27" totalsRowCount="1" headerRowCellStyle="Normal" dataCellStyle="Normal">
  <autoFilter ref="A15:K26" xr:uid="{C733CED8-FE7C-4154-98D4-54BCEEEEB489}"/>
  <tableColumns count="11">
    <tableColumn id="1" xr3:uid="{60D4C335-B0ED-4B39-AC0B-1822922F6110}" name="Monthly Expenses" totalsRowLabel="Monthly Subtotal" dataCellStyle="Normal"/>
    <tableColumn id="3" xr3:uid="{554BECC9-54BE-4326-ABD6-DA7727E5BD7F}" name="Electricity Bill" totalsRowFunction="sum" totalsRowDxfId="35" dataCellStyle="Normal"/>
    <tableColumn id="4" xr3:uid="{D17DD63E-1506-4B21-B384-240EB5414D29}" name="Rent" totalsRowFunction="sum" totalsRowDxfId="34" dataCellStyle="Normal"/>
    <tableColumn id="5" xr3:uid="{ECFA16A9-EB3A-4425-A67C-B2D57021516C}" name="Phone Bill" totalsRowFunction="sum" totalsRowDxfId="33" dataCellStyle="Normal"/>
    <tableColumn id="6" xr3:uid="{2F9305D0-F40D-4943-AC76-1865D1DBAD22}" name="Car Insurance" totalsRowFunction="sum" totalsRowDxfId="32" dataCellStyle="Normal"/>
    <tableColumn id="7" xr3:uid="{096ECD5C-53E9-4BAF-85AE-8C92A76B9948}" name="Water Bill" totalsRowFunction="sum" totalsRowDxfId="31" dataCellStyle="Normal"/>
    <tableColumn id="8" xr3:uid="{8FF4A5D6-4873-4C08-94E5-890AF7C38802}" name="Grocery Bill" totalsRowFunction="sum" totalsRowDxfId="30" dataCellStyle="Normal"/>
    <tableColumn id="9" xr3:uid="{F675FCD1-D916-4D38-98DC-F7BD9501BB68}" name="Gas" totalsRowFunction="sum" totalsRowDxfId="29" dataCellStyle="Normal"/>
    <tableColumn id="10" xr3:uid="{2A87FF94-4553-474F-80C1-C97CE1CA66A8}" name="Dining Out" totalsRowFunction="sum" totalsRowDxfId="28" dataCellStyle="Normal"/>
    <tableColumn id="11" xr3:uid="{99395EFF-FC2D-4AD1-860C-E608BE622C05}" name="Total Monthly Expense" totalsRowFunction="sum" totalsRowDxfId="27" dataCellStyle="Normal">
      <calculatedColumnFormula>SUM(B16:I16)</calculatedColumnFormula>
    </tableColumn>
    <tableColumn id="12" xr3:uid="{45B876ED-738C-45DB-A47A-4B2397EC4845}" name="Net Savings" totalsRowFunction="sum" dataDxfId="26" totalsRowDxfId="25" dataCellStyle="Normal">
      <calculatedColumnFormula>$B$6-Monthly_Expenses[[#This Row],[Total Monthly Expense]]</calculatedColumnFormula>
    </tableColumn>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4B2C4CD-76D7-4A13-9336-6BB0153D92A2}" name="Income" displayName="Income" ref="A4:B7" totalsRowShown="0" headerRowDxfId="24">
  <autoFilter ref="A4:B7" xr:uid="{04B2C4CD-76D7-4A13-9336-6BB0153D92A2}">
    <filterColumn colId="0" hiddenButton="1"/>
    <filterColumn colId="1" hiddenButton="1"/>
  </autoFilter>
  <tableColumns count="2">
    <tableColumn id="1" xr3:uid="{F03055DD-8165-4E4A-96E5-8C2463818B3B}" name=" Jr Data Analyst"/>
    <tableColumn id="2" xr3:uid="{F7EC253E-9906-4693-BF34-4D6D45397804}" name="Average" dataDxfId="23" dataCellStyle="Currency"/>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BB3BCDE-871E-4D48-B177-3B1E9F9279C6}" name="Expense_Category" displayName="Expense_Category" ref="C4:D12" totalsRowShown="0">
  <sortState xmlns:xlrd2="http://schemas.microsoft.com/office/spreadsheetml/2017/richdata2" ref="C5:D12">
    <sortCondition descending="1" ref="D5:D12"/>
  </sortState>
  <tableColumns count="2">
    <tableColumn id="1" xr3:uid="{EC67FD7A-B2D6-4779-B8CE-0060EA9EBE35}" name="Expense Category"/>
    <tableColumn id="2" xr3:uid="{1E063628-8A01-4D65-B4B9-6273BF5C2216}" name="Annual Total"/>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table" Target="../tables/table6.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7"/>
  <sheetViews>
    <sheetView topLeftCell="G2" workbookViewId="0">
      <selection activeCell="R4" sqref="R4"/>
    </sheetView>
  </sheetViews>
  <sheetFormatPr defaultRowHeight="14.4" x14ac:dyDescent="0.3"/>
  <cols>
    <col min="1" max="1" width="36.88671875" customWidth="1"/>
    <col min="2" max="2" width="11.109375" customWidth="1"/>
    <col min="3" max="3" width="15.88671875" customWidth="1"/>
    <col min="4" max="4" width="11.109375" customWidth="1"/>
    <col min="5" max="5" width="11.44140625" bestFit="1" customWidth="1"/>
    <col min="6" max="6" width="12" bestFit="1" customWidth="1"/>
    <col min="7" max="7" width="20" customWidth="1"/>
    <col min="8" max="8" width="11.109375" customWidth="1"/>
    <col min="9" max="9" width="14.6640625" customWidth="1"/>
    <col min="10" max="10" width="12.5546875" customWidth="1"/>
    <col min="11" max="11" width="11.109375" customWidth="1"/>
    <col min="12" max="12" width="13.88671875" customWidth="1"/>
    <col min="13" max="13" width="13.88671875" bestFit="1" customWidth="1"/>
    <col min="14" max="14" width="12.5546875" bestFit="1" customWidth="1"/>
    <col min="15" max="15" width="12.88671875" customWidth="1"/>
    <col min="16" max="16" width="11.44140625" bestFit="1" customWidth="1"/>
    <col min="17" max="17" width="12.6640625" customWidth="1"/>
    <col min="18" max="18" width="14" customWidth="1"/>
    <col min="19" max="19" width="15.6640625" customWidth="1"/>
    <col min="20" max="20" width="15.5546875" customWidth="1"/>
    <col min="21" max="21" width="13" customWidth="1"/>
    <col min="22" max="22" width="10.5546875" customWidth="1"/>
  </cols>
  <sheetData>
    <row r="1" spans="1:21" ht="21" thickBot="1" x14ac:dyDescent="0.4">
      <c r="A1" s="69" t="s">
        <v>0</v>
      </c>
      <c r="B1" s="70"/>
      <c r="C1" s="70"/>
      <c r="D1" s="70"/>
      <c r="E1" s="70"/>
      <c r="F1" s="70"/>
      <c r="G1" s="71"/>
      <c r="H1" s="71"/>
      <c r="I1" s="71"/>
      <c r="J1" s="71"/>
      <c r="K1" s="71"/>
      <c r="L1" s="71"/>
      <c r="M1" s="71"/>
      <c r="N1" s="71"/>
      <c r="O1" s="71"/>
      <c r="P1" s="71"/>
      <c r="Q1" s="71"/>
      <c r="R1" s="71"/>
      <c r="S1" s="71"/>
      <c r="T1" s="72"/>
    </row>
    <row r="2" spans="1:21" ht="15.6" x14ac:dyDescent="0.3">
      <c r="A2" s="51" t="s">
        <v>1</v>
      </c>
      <c r="B2" s="51" t="s">
        <v>37</v>
      </c>
      <c r="C2" s="51" t="s">
        <v>38</v>
      </c>
      <c r="D2" s="51" t="s">
        <v>39</v>
      </c>
      <c r="E2" s="51" t="s">
        <v>40</v>
      </c>
      <c r="F2" s="51" t="s">
        <v>41</v>
      </c>
      <c r="G2" s="25" t="s">
        <v>2</v>
      </c>
      <c r="H2" s="23" t="s">
        <v>37</v>
      </c>
      <c r="I2" s="24" t="s">
        <v>38</v>
      </c>
      <c r="J2" s="24" t="s">
        <v>39</v>
      </c>
      <c r="K2" s="24" t="s">
        <v>40</v>
      </c>
      <c r="L2" s="24" t="s">
        <v>41</v>
      </c>
      <c r="M2" s="24" t="s">
        <v>42</v>
      </c>
      <c r="N2" s="24" t="s">
        <v>43</v>
      </c>
      <c r="O2" s="24" t="s">
        <v>44</v>
      </c>
      <c r="P2" s="24" t="s">
        <v>45</v>
      </c>
      <c r="Q2" s="23" t="s">
        <v>46</v>
      </c>
      <c r="R2" s="23" t="s">
        <v>47</v>
      </c>
      <c r="S2" s="23" t="s">
        <v>48</v>
      </c>
      <c r="T2" s="31" t="s">
        <v>49</v>
      </c>
      <c r="U2" s="7"/>
    </row>
    <row r="3" spans="1:21" ht="31.2" x14ac:dyDescent="0.3">
      <c r="A3" s="45" t="s">
        <v>3</v>
      </c>
      <c r="B3" s="45"/>
      <c r="C3" s="43"/>
      <c r="D3" s="1" t="s">
        <v>4</v>
      </c>
      <c r="E3" s="2" t="s">
        <v>5</v>
      </c>
      <c r="F3" s="8" t="s">
        <v>6</v>
      </c>
      <c r="G3" s="26" t="s">
        <v>7</v>
      </c>
      <c r="H3" s="26"/>
      <c r="I3" s="15" t="s">
        <v>8</v>
      </c>
      <c r="J3" s="11" t="s">
        <v>9</v>
      </c>
      <c r="K3" s="11" t="s">
        <v>10</v>
      </c>
      <c r="L3" s="11" t="s">
        <v>11</v>
      </c>
      <c r="M3" s="11" t="s">
        <v>12</v>
      </c>
      <c r="N3" s="11" t="s">
        <v>13</v>
      </c>
      <c r="O3" s="11" t="s">
        <v>14</v>
      </c>
      <c r="P3" s="12" t="s">
        <v>15</v>
      </c>
      <c r="Q3" s="13" t="s">
        <v>16</v>
      </c>
      <c r="R3" s="13" t="s">
        <v>17</v>
      </c>
      <c r="S3" s="14" t="s">
        <v>18</v>
      </c>
      <c r="T3" s="32" t="s">
        <v>19</v>
      </c>
    </row>
    <row r="4" spans="1:21" ht="15.6" x14ac:dyDescent="0.3">
      <c r="A4" s="46" t="s">
        <v>20</v>
      </c>
      <c r="B4" s="46"/>
      <c r="C4" s="44"/>
      <c r="D4" s="3">
        <v>26.44</v>
      </c>
      <c r="E4" s="4">
        <v>4583.33</v>
      </c>
      <c r="F4" s="9">
        <v>55000</v>
      </c>
      <c r="G4" s="27" t="s">
        <v>21</v>
      </c>
      <c r="H4" s="40"/>
      <c r="I4" s="16">
        <v>160</v>
      </c>
      <c r="J4" s="16">
        <v>1676</v>
      </c>
      <c r="K4" s="16">
        <v>45</v>
      </c>
      <c r="L4" s="16">
        <v>105</v>
      </c>
      <c r="M4" s="16">
        <v>90</v>
      </c>
      <c r="N4" s="16">
        <v>170</v>
      </c>
      <c r="O4" s="16">
        <v>95</v>
      </c>
      <c r="P4" s="16">
        <v>200</v>
      </c>
      <c r="Q4" s="17">
        <f>SUM(I4:P4)</f>
        <v>2541</v>
      </c>
      <c r="R4" s="17">
        <f>$E$7-Q4</f>
        <v>1392.4433333333332</v>
      </c>
      <c r="S4" s="18">
        <v>2541</v>
      </c>
      <c r="T4" s="33">
        <f>$F$4-S4</f>
        <v>52459</v>
      </c>
    </row>
    <row r="5" spans="1:21" ht="15.6" x14ac:dyDescent="0.3">
      <c r="A5" s="46" t="s">
        <v>22</v>
      </c>
      <c r="B5" s="46"/>
      <c r="C5" s="44"/>
      <c r="D5" s="3">
        <v>21.63</v>
      </c>
      <c r="E5" s="4">
        <v>3750</v>
      </c>
      <c r="F5" s="9">
        <v>45000</v>
      </c>
      <c r="G5" s="28" t="s">
        <v>23</v>
      </c>
      <c r="H5" s="28"/>
      <c r="I5" s="16">
        <v>160</v>
      </c>
      <c r="J5" s="16">
        <v>1676</v>
      </c>
      <c r="K5" s="16">
        <v>45</v>
      </c>
      <c r="L5" s="16">
        <v>105</v>
      </c>
      <c r="M5" s="16">
        <v>90</v>
      </c>
      <c r="N5" s="16">
        <v>230</v>
      </c>
      <c r="O5" s="16">
        <v>95</v>
      </c>
      <c r="P5" s="16">
        <v>120</v>
      </c>
      <c r="Q5" s="17">
        <f t="shared" ref="Q5:Q14" si="0">SUM(I5:P5)</f>
        <v>2521</v>
      </c>
      <c r="R5" s="17">
        <f t="shared" ref="R5:R14" si="1">$E$7-Q5</f>
        <v>1412.4433333333332</v>
      </c>
      <c r="S5" s="16">
        <f>Q4+Q5</f>
        <v>5062</v>
      </c>
      <c r="T5" s="33">
        <f t="shared" ref="T5:T14" si="2">$F$4-S5</f>
        <v>49938</v>
      </c>
    </row>
    <row r="6" spans="1:21" ht="109.2" x14ac:dyDescent="0.3">
      <c r="A6" s="47" t="s">
        <v>24</v>
      </c>
      <c r="B6" s="47"/>
      <c r="C6" s="48"/>
      <c r="D6" s="3">
        <v>20</v>
      </c>
      <c r="E6" s="4">
        <v>3467</v>
      </c>
      <c r="F6" s="9">
        <v>41000</v>
      </c>
      <c r="G6" s="28" t="s">
        <v>25</v>
      </c>
      <c r="H6" s="28"/>
      <c r="I6" s="16">
        <v>160</v>
      </c>
      <c r="J6" s="16">
        <v>1676</v>
      </c>
      <c r="K6" s="16">
        <v>45</v>
      </c>
      <c r="L6" s="16">
        <v>105</v>
      </c>
      <c r="M6" s="16">
        <v>85</v>
      </c>
      <c r="N6" s="16">
        <v>200</v>
      </c>
      <c r="O6" s="16">
        <v>95</v>
      </c>
      <c r="P6" s="16">
        <v>100</v>
      </c>
      <c r="Q6" s="17">
        <f t="shared" si="0"/>
        <v>2466</v>
      </c>
      <c r="R6" s="17">
        <f t="shared" si="1"/>
        <v>1467.4433333333332</v>
      </c>
      <c r="S6" s="16">
        <f t="shared" ref="S6:S14" si="3">S5+Q6</f>
        <v>7528</v>
      </c>
      <c r="T6" s="33">
        <f t="shared" si="2"/>
        <v>47472</v>
      </c>
    </row>
    <row r="7" spans="1:21" ht="15.6" x14ac:dyDescent="0.3">
      <c r="A7" s="49"/>
      <c r="B7" s="49"/>
      <c r="C7" s="50"/>
      <c r="D7" s="5">
        <f>AVERAGE(D4:D6)</f>
        <v>22.689999999999998</v>
      </c>
      <c r="E7" s="6">
        <f>AVERAGE(E4:E6)</f>
        <v>3933.4433333333332</v>
      </c>
      <c r="F7" s="10">
        <f>AVERAGE(F4:F6)</f>
        <v>47000</v>
      </c>
      <c r="G7" s="28" t="s">
        <v>26</v>
      </c>
      <c r="H7" s="28"/>
      <c r="I7" s="16">
        <v>150</v>
      </c>
      <c r="J7" s="16">
        <v>1676</v>
      </c>
      <c r="K7" s="16">
        <v>45</v>
      </c>
      <c r="L7" s="16">
        <v>120</v>
      </c>
      <c r="M7" s="16">
        <v>85</v>
      </c>
      <c r="N7" s="16">
        <v>170</v>
      </c>
      <c r="O7" s="16">
        <v>95</v>
      </c>
      <c r="P7" s="16">
        <v>160</v>
      </c>
      <c r="Q7" s="17">
        <f t="shared" si="0"/>
        <v>2501</v>
      </c>
      <c r="R7" s="17">
        <f t="shared" si="1"/>
        <v>1432.4433333333332</v>
      </c>
      <c r="S7" s="16">
        <f t="shared" si="3"/>
        <v>10029</v>
      </c>
      <c r="T7" s="33">
        <f t="shared" si="2"/>
        <v>44971</v>
      </c>
    </row>
    <row r="8" spans="1:21" ht="15.6" x14ac:dyDescent="0.3">
      <c r="D8" s="67" t="s">
        <v>27</v>
      </c>
      <c r="E8" s="67"/>
      <c r="F8" s="68"/>
      <c r="G8" s="28" t="s">
        <v>28</v>
      </c>
      <c r="H8" s="28"/>
      <c r="I8" s="16">
        <v>165</v>
      </c>
      <c r="J8" s="16">
        <v>1676</v>
      </c>
      <c r="K8" s="16">
        <v>55</v>
      </c>
      <c r="L8" s="16">
        <v>120</v>
      </c>
      <c r="M8" s="16">
        <v>85</v>
      </c>
      <c r="N8" s="16">
        <v>170</v>
      </c>
      <c r="O8" s="16">
        <v>95</v>
      </c>
      <c r="P8" s="16">
        <v>0</v>
      </c>
      <c r="Q8" s="17">
        <f t="shared" si="0"/>
        <v>2366</v>
      </c>
      <c r="R8" s="17">
        <f t="shared" si="1"/>
        <v>1567.4433333333332</v>
      </c>
      <c r="S8" s="16">
        <f t="shared" si="3"/>
        <v>12395</v>
      </c>
      <c r="T8" s="33">
        <f t="shared" si="2"/>
        <v>42605</v>
      </c>
    </row>
    <row r="9" spans="1:21" ht="15.6" x14ac:dyDescent="0.3">
      <c r="G9" s="28" t="s">
        <v>29</v>
      </c>
      <c r="H9" s="28"/>
      <c r="I9" s="16">
        <v>140</v>
      </c>
      <c r="J9" s="16">
        <v>1676</v>
      </c>
      <c r="K9" s="16">
        <v>45</v>
      </c>
      <c r="L9" s="16">
        <v>105</v>
      </c>
      <c r="M9" s="16">
        <v>90</v>
      </c>
      <c r="N9" s="16">
        <v>150</v>
      </c>
      <c r="O9" s="16">
        <v>95</v>
      </c>
      <c r="P9" s="16">
        <v>200</v>
      </c>
      <c r="Q9" s="17">
        <f t="shared" si="0"/>
        <v>2501</v>
      </c>
      <c r="R9" s="17">
        <f t="shared" si="1"/>
        <v>1432.4433333333332</v>
      </c>
      <c r="S9" s="16">
        <f t="shared" si="3"/>
        <v>14896</v>
      </c>
      <c r="T9" s="33">
        <f t="shared" si="2"/>
        <v>40104</v>
      </c>
    </row>
    <row r="10" spans="1:21" ht="15.6" x14ac:dyDescent="0.3">
      <c r="G10" s="28" t="s">
        <v>30</v>
      </c>
      <c r="H10" s="28"/>
      <c r="I10" s="16">
        <v>350</v>
      </c>
      <c r="J10" s="16">
        <v>1676</v>
      </c>
      <c r="K10" s="16">
        <v>100</v>
      </c>
      <c r="L10" s="16">
        <v>150</v>
      </c>
      <c r="M10" s="16">
        <v>240</v>
      </c>
      <c r="N10" s="16">
        <v>560</v>
      </c>
      <c r="O10" s="16">
        <v>365</v>
      </c>
      <c r="P10" s="16">
        <v>500</v>
      </c>
      <c r="Q10" s="17">
        <f t="shared" si="0"/>
        <v>3941</v>
      </c>
      <c r="R10" s="22">
        <f t="shared" si="1"/>
        <v>-7.5566666666668425</v>
      </c>
      <c r="S10" s="16">
        <f t="shared" si="3"/>
        <v>18837</v>
      </c>
      <c r="T10" s="33">
        <f t="shared" si="2"/>
        <v>36163</v>
      </c>
    </row>
    <row r="11" spans="1:21" ht="15.6" x14ac:dyDescent="0.3">
      <c r="G11" s="28" t="s">
        <v>31</v>
      </c>
      <c r="H11" s="28"/>
      <c r="I11" s="16">
        <v>160</v>
      </c>
      <c r="J11" s="16">
        <v>1676</v>
      </c>
      <c r="K11" s="16">
        <v>45</v>
      </c>
      <c r="L11" s="16">
        <v>105</v>
      </c>
      <c r="M11" s="16">
        <v>95</v>
      </c>
      <c r="N11" s="16">
        <v>170</v>
      </c>
      <c r="O11" s="16">
        <v>95</v>
      </c>
      <c r="P11" s="16">
        <v>250</v>
      </c>
      <c r="Q11" s="17">
        <f t="shared" si="0"/>
        <v>2596</v>
      </c>
      <c r="R11" s="17">
        <f t="shared" si="1"/>
        <v>1337.4433333333332</v>
      </c>
      <c r="S11" s="16">
        <f t="shared" si="3"/>
        <v>21433</v>
      </c>
      <c r="T11" s="33">
        <f t="shared" si="2"/>
        <v>33567</v>
      </c>
    </row>
    <row r="12" spans="1:21" ht="15.6" x14ac:dyDescent="0.3">
      <c r="G12" s="28" t="s">
        <v>32</v>
      </c>
      <c r="H12" s="28"/>
      <c r="I12" s="16">
        <v>160</v>
      </c>
      <c r="J12" s="16">
        <v>1676</v>
      </c>
      <c r="K12" s="16">
        <v>45</v>
      </c>
      <c r="L12" s="16">
        <v>105</v>
      </c>
      <c r="M12" s="16">
        <v>90</v>
      </c>
      <c r="N12" s="16">
        <v>140</v>
      </c>
      <c r="O12" s="16">
        <v>95</v>
      </c>
      <c r="P12" s="16">
        <v>155</v>
      </c>
      <c r="Q12" s="17">
        <f t="shared" si="0"/>
        <v>2466</v>
      </c>
      <c r="R12" s="17">
        <f t="shared" si="1"/>
        <v>1467.4433333333332</v>
      </c>
      <c r="S12" s="16">
        <f t="shared" si="3"/>
        <v>23899</v>
      </c>
      <c r="T12" s="33">
        <f t="shared" si="2"/>
        <v>31101</v>
      </c>
    </row>
    <row r="13" spans="1:21" ht="15.6" x14ac:dyDescent="0.3">
      <c r="G13" s="28" t="s">
        <v>33</v>
      </c>
      <c r="H13" s="28"/>
      <c r="I13" s="16">
        <v>150</v>
      </c>
      <c r="J13" s="16">
        <v>1676</v>
      </c>
      <c r="K13" s="16">
        <v>45</v>
      </c>
      <c r="L13" s="16">
        <v>105</v>
      </c>
      <c r="M13" s="16">
        <v>90</v>
      </c>
      <c r="N13" s="16">
        <v>205</v>
      </c>
      <c r="O13" s="16">
        <v>95</v>
      </c>
      <c r="P13" s="16">
        <v>75</v>
      </c>
      <c r="Q13" s="17">
        <f t="shared" si="0"/>
        <v>2441</v>
      </c>
      <c r="R13" s="17">
        <f>$E$7-Q13</f>
        <v>1492.4433333333332</v>
      </c>
      <c r="S13" s="16">
        <f t="shared" si="3"/>
        <v>26340</v>
      </c>
      <c r="T13" s="33">
        <f t="shared" si="2"/>
        <v>28660</v>
      </c>
    </row>
    <row r="14" spans="1:21" ht="15.6" x14ac:dyDescent="0.3">
      <c r="G14" s="29" t="s">
        <v>34</v>
      </c>
      <c r="H14" s="28"/>
      <c r="I14" s="16">
        <v>200</v>
      </c>
      <c r="J14" s="16">
        <v>1676</v>
      </c>
      <c r="K14" s="16">
        <v>45</v>
      </c>
      <c r="L14" s="16">
        <v>105</v>
      </c>
      <c r="M14" s="16">
        <v>90</v>
      </c>
      <c r="N14" s="16">
        <v>170</v>
      </c>
      <c r="O14" s="16">
        <v>95</v>
      </c>
      <c r="P14" s="16">
        <v>200</v>
      </c>
      <c r="Q14" s="17">
        <f t="shared" si="0"/>
        <v>2581</v>
      </c>
      <c r="R14" s="17">
        <f t="shared" si="1"/>
        <v>1352.4433333333332</v>
      </c>
      <c r="S14" s="16">
        <f t="shared" si="3"/>
        <v>28921</v>
      </c>
      <c r="T14" s="33">
        <f t="shared" si="2"/>
        <v>26079</v>
      </c>
    </row>
    <row r="15" spans="1:21" ht="15.6" x14ac:dyDescent="0.3">
      <c r="G15" s="30" t="s">
        <v>35</v>
      </c>
      <c r="H15" s="41"/>
      <c r="I15" s="19">
        <f>SUM(I4:I14)</f>
        <v>1955</v>
      </c>
      <c r="J15" s="19">
        <f t="shared" ref="J15:Q15" si="4">SUM(J4:J14)</f>
        <v>18436</v>
      </c>
      <c r="K15" s="19">
        <f t="shared" si="4"/>
        <v>560</v>
      </c>
      <c r="L15" s="19">
        <f t="shared" si="4"/>
        <v>1230</v>
      </c>
      <c r="M15" s="19">
        <f t="shared" si="4"/>
        <v>1130</v>
      </c>
      <c r="N15" s="19">
        <f t="shared" si="4"/>
        <v>2335</v>
      </c>
      <c r="O15" s="19">
        <f t="shared" si="4"/>
        <v>1315</v>
      </c>
      <c r="P15" s="19">
        <f t="shared" si="4"/>
        <v>1960</v>
      </c>
      <c r="Q15" s="19">
        <f t="shared" si="4"/>
        <v>28921</v>
      </c>
      <c r="R15" s="19"/>
      <c r="S15" s="19"/>
      <c r="T15" s="34"/>
    </row>
    <row r="16" spans="1:21" ht="15.75" customHeight="1" x14ac:dyDescent="0.3">
      <c r="G16" s="30"/>
      <c r="H16" s="42"/>
      <c r="I16" s="20">
        <f>AVERAGE(I4:I14)</f>
        <v>177.72727272727272</v>
      </c>
      <c r="J16" s="20">
        <f t="shared" ref="J16:P16" si="5">AVERAGE(J4:J14)</f>
        <v>1676</v>
      </c>
      <c r="K16" s="20">
        <f t="shared" si="5"/>
        <v>50.909090909090907</v>
      </c>
      <c r="L16" s="20">
        <f t="shared" si="5"/>
        <v>111.81818181818181</v>
      </c>
      <c r="M16" s="20">
        <f t="shared" si="5"/>
        <v>102.72727272727273</v>
      </c>
      <c r="N16" s="20">
        <f t="shared" si="5"/>
        <v>212.27272727272728</v>
      </c>
      <c r="O16" s="20">
        <f t="shared" si="5"/>
        <v>119.54545454545455</v>
      </c>
      <c r="P16" s="20">
        <f t="shared" si="5"/>
        <v>178.18181818181819</v>
      </c>
      <c r="Q16" s="20">
        <f>AVERAGE(Q4:Q14)</f>
        <v>2629.181818181818</v>
      </c>
      <c r="R16" s="16">
        <f>AVERAGE(R4:R14)</f>
        <v>1304.2615151515147</v>
      </c>
      <c r="S16" s="21"/>
      <c r="T16" s="35"/>
    </row>
    <row r="17" spans="7:20" ht="15.6" x14ac:dyDescent="0.3">
      <c r="G17" s="36" t="s">
        <v>36</v>
      </c>
      <c r="H17" s="37"/>
      <c r="I17" s="38"/>
      <c r="J17" s="38"/>
      <c r="K17" s="38"/>
      <c r="L17" s="38"/>
      <c r="M17" s="38"/>
      <c r="N17" s="38"/>
      <c r="O17" s="38"/>
      <c r="P17" s="38"/>
      <c r="Q17" s="38"/>
      <c r="R17" s="38"/>
      <c r="S17" s="38"/>
      <c r="T17" s="39"/>
    </row>
  </sheetData>
  <mergeCells count="2">
    <mergeCell ref="D8:F8"/>
    <mergeCell ref="A1:T1"/>
  </mergeCells>
  <conditionalFormatting sqref="R4:R14">
    <cfRule type="iconSet" priority="1">
      <iconSet iconSet="3Symbols">
        <cfvo type="percent" val="0"/>
        <cfvo type="percent" val="33"/>
        <cfvo type="percent" val="67"/>
      </iconSet>
    </cfRule>
  </conditionalFormatting>
  <conditionalFormatting sqref="T4:T14">
    <cfRule type="colorScale" priority="5">
      <colorScale>
        <cfvo type="min"/>
        <cfvo type="percentile" val="50"/>
        <cfvo type="max"/>
        <color rgb="FFF8696B"/>
        <color rgb="FFFFEB84"/>
        <color rgb="FF63BE7B"/>
      </colorScale>
    </cfRule>
  </conditionalFormatting>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iconSet" priority="2" id="{C203F837-A591-4121-93E2-6F3B644E88DA}">
            <x14:iconSet iconSet="3Triangles">
              <x14:cfvo type="percent">
                <xm:f>0</xm:f>
              </x14:cfvo>
              <x14:cfvo type="percent">
                <xm:f>33</xm:f>
              </x14:cfvo>
              <x14:cfvo type="percent">
                <xm:f>67</xm:f>
              </x14:cfvo>
            </x14:iconSet>
          </x14:cfRule>
          <xm:sqref>S4:S14</xm:sqref>
        </x14:conditionalFormatting>
        <x14:conditionalFormatting xmlns:xm="http://schemas.microsoft.com/office/excel/2006/main">
          <x14:cfRule type="iconSet" priority="6" id="{A7A4EA4F-092E-417D-AA1E-4F2F16B3076C}">
            <x14:iconSet iconSet="3Triangles">
              <x14:cfvo type="percent">
                <xm:f>0</xm:f>
              </x14:cfvo>
              <x14:cfvo type="percent">
                <xm:f>33</xm:f>
              </x14:cfvo>
              <x14:cfvo type="percent">
                <xm:f>67</xm:f>
              </x14:cfvo>
            </x14:iconSet>
          </x14:cfRule>
          <xm:sqref>T4:T14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3FDB5-51B6-4860-8E17-7C32D59631A3}">
  <dimension ref="A1:F6"/>
  <sheetViews>
    <sheetView showGridLines="0" workbookViewId="0">
      <selection activeCell="A6" sqref="A6:F6"/>
    </sheetView>
  </sheetViews>
  <sheetFormatPr defaultRowHeight="14.4" x14ac:dyDescent="0.3"/>
  <cols>
    <col min="1" max="1" width="34.33203125" bestFit="1" customWidth="1"/>
    <col min="2" max="6" width="13.6640625" bestFit="1" customWidth="1"/>
  </cols>
  <sheetData>
    <row r="1" spans="1:6" x14ac:dyDescent="0.3">
      <c r="A1" t="s">
        <v>1</v>
      </c>
      <c r="B1" t="s">
        <v>37</v>
      </c>
      <c r="C1" t="s">
        <v>38</v>
      </c>
      <c r="D1" t="s">
        <v>39</v>
      </c>
      <c r="E1" t="s">
        <v>40</v>
      </c>
      <c r="F1" t="s">
        <v>41</v>
      </c>
    </row>
    <row r="2" spans="1:6" x14ac:dyDescent="0.3">
      <c r="A2" t="s">
        <v>3</v>
      </c>
      <c r="D2" t="s">
        <v>4</v>
      </c>
      <c r="E2" t="s">
        <v>5</v>
      </c>
      <c r="F2" t="s">
        <v>6</v>
      </c>
    </row>
    <row r="3" spans="1:6" x14ac:dyDescent="0.3">
      <c r="A3" t="s">
        <v>20</v>
      </c>
      <c r="D3" s="52">
        <v>26.44</v>
      </c>
      <c r="E3" s="52">
        <v>4583.33</v>
      </c>
      <c r="F3" s="52">
        <v>55000</v>
      </c>
    </row>
    <row r="4" spans="1:6" x14ac:dyDescent="0.3">
      <c r="A4" t="s">
        <v>22</v>
      </c>
      <c r="D4" s="52">
        <v>21.63</v>
      </c>
      <c r="E4" s="52">
        <v>3750</v>
      </c>
      <c r="F4" s="52">
        <v>45000</v>
      </c>
    </row>
    <row r="5" spans="1:6" x14ac:dyDescent="0.3">
      <c r="A5" t="s">
        <v>24</v>
      </c>
      <c r="D5" s="52">
        <v>20</v>
      </c>
      <c r="E5" s="52">
        <v>3467</v>
      </c>
      <c r="F5" s="52">
        <v>41000</v>
      </c>
    </row>
    <row r="6" spans="1:6" x14ac:dyDescent="0.3">
      <c r="A6" t="s">
        <v>52</v>
      </c>
      <c r="D6" s="52">
        <f>AVERAGE(D3:D5)</f>
        <v>22.689999999999998</v>
      </c>
      <c r="E6" s="52">
        <f>AVERAGE(E3:E5)</f>
        <v>3933.4433333333332</v>
      </c>
      <c r="F6" s="52">
        <f>AVERAGE(F3:F5)</f>
        <v>47000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A771B-E330-4A3E-B58D-E156A50CFFA0}">
  <dimension ref="A1:X213"/>
  <sheetViews>
    <sheetView showGridLines="0" workbookViewId="0">
      <selection activeCell="F2" sqref="F2:P2"/>
    </sheetView>
  </sheetViews>
  <sheetFormatPr defaultRowHeight="14.4" x14ac:dyDescent="0.3"/>
  <sheetData>
    <row r="1" spans="1:24" ht="24" thickBot="1" x14ac:dyDescent="0.5">
      <c r="A1" s="57"/>
      <c r="B1" s="57"/>
      <c r="C1" s="57"/>
      <c r="D1" s="57"/>
      <c r="E1" s="57"/>
      <c r="F1" s="57"/>
      <c r="G1" s="73" t="s">
        <v>74</v>
      </c>
      <c r="H1" s="74"/>
      <c r="I1" s="74"/>
      <c r="J1" s="74"/>
      <c r="K1" s="74"/>
      <c r="L1" s="74"/>
      <c r="M1" s="74"/>
      <c r="N1" s="74"/>
      <c r="O1" s="75"/>
      <c r="P1" s="57"/>
      <c r="Q1" s="57"/>
      <c r="R1" s="57"/>
      <c r="S1" s="57"/>
      <c r="T1" s="57"/>
      <c r="U1" s="57"/>
      <c r="V1" s="57"/>
      <c r="W1" s="57"/>
      <c r="X1" s="57"/>
    </row>
    <row r="2" spans="1:24" ht="18.600000000000001" thickBot="1" x14ac:dyDescent="0.4">
      <c r="A2" s="57"/>
      <c r="B2" s="57"/>
      <c r="C2" s="57"/>
      <c r="D2" s="57"/>
      <c r="E2" s="57"/>
      <c r="F2" s="62" t="s">
        <v>72</v>
      </c>
      <c r="G2" s="63"/>
      <c r="H2" s="63"/>
      <c r="I2" s="63"/>
      <c r="J2" s="63"/>
      <c r="K2" s="63"/>
      <c r="L2" s="63"/>
      <c r="M2" s="63"/>
      <c r="N2" s="63"/>
      <c r="O2" s="63"/>
      <c r="P2" s="64"/>
      <c r="Q2" s="57"/>
      <c r="R2" s="57"/>
      <c r="S2" s="57"/>
      <c r="T2" s="57"/>
      <c r="U2" s="57"/>
      <c r="V2" s="57"/>
      <c r="W2" s="57"/>
      <c r="X2" s="57"/>
    </row>
    <row r="3" spans="1:24" x14ac:dyDescent="0.3">
      <c r="A3" s="57"/>
      <c r="B3" s="57"/>
      <c r="C3" s="57"/>
      <c r="D3" s="57"/>
      <c r="E3" s="57"/>
      <c r="F3" s="57"/>
      <c r="G3" s="57"/>
      <c r="H3" s="57"/>
      <c r="I3" s="57"/>
      <c r="J3" s="57"/>
      <c r="K3" s="57"/>
      <c r="L3" s="57"/>
      <c r="M3" s="57"/>
      <c r="N3" s="57"/>
      <c r="O3" s="57"/>
      <c r="P3" s="57"/>
      <c r="Q3" s="57"/>
      <c r="R3" s="57"/>
      <c r="S3" s="57"/>
      <c r="T3" s="57"/>
      <c r="U3" s="57"/>
      <c r="V3" s="57"/>
      <c r="W3" s="57"/>
      <c r="X3" s="57"/>
    </row>
    <row r="4" spans="1:24" x14ac:dyDescent="0.3">
      <c r="A4" s="57"/>
      <c r="B4" s="57"/>
      <c r="C4" s="57"/>
      <c r="D4" s="57"/>
      <c r="E4" s="57"/>
      <c r="F4" s="57"/>
      <c r="G4" s="57"/>
      <c r="H4" s="57"/>
      <c r="I4" s="57"/>
      <c r="J4" s="57"/>
      <c r="K4" s="57"/>
      <c r="L4" s="57"/>
      <c r="M4" s="57"/>
      <c r="N4" s="57"/>
      <c r="O4" s="57"/>
      <c r="P4" s="57"/>
      <c r="Q4" s="57"/>
      <c r="R4" s="57"/>
      <c r="S4" s="57"/>
      <c r="T4" s="57"/>
      <c r="U4" s="57"/>
      <c r="V4" s="57"/>
      <c r="W4" s="57"/>
      <c r="X4" s="57"/>
    </row>
    <row r="5" spans="1:24" ht="15" thickBot="1" x14ac:dyDescent="0.35">
      <c r="A5" s="57"/>
      <c r="B5" s="57"/>
      <c r="C5" s="57"/>
      <c r="D5" s="57"/>
      <c r="E5" s="57"/>
      <c r="F5" s="57"/>
      <c r="G5" s="57"/>
      <c r="H5" s="57"/>
      <c r="I5" s="57"/>
      <c r="J5" s="57"/>
      <c r="K5" s="57"/>
      <c r="L5" s="57"/>
      <c r="M5" s="57"/>
      <c r="N5" s="57"/>
      <c r="O5" s="57"/>
      <c r="P5" s="57"/>
      <c r="Q5" s="57"/>
      <c r="R5" s="57"/>
      <c r="S5" s="57"/>
      <c r="T5" s="57"/>
      <c r="U5" s="57"/>
      <c r="V5" s="57"/>
      <c r="W5" s="57"/>
      <c r="X5" s="57"/>
    </row>
    <row r="6" spans="1:24" ht="18.600000000000001" thickBot="1" x14ac:dyDescent="0.4">
      <c r="A6" s="57"/>
      <c r="B6" s="57"/>
      <c r="C6" s="57"/>
      <c r="D6" s="57"/>
      <c r="E6" s="57"/>
      <c r="F6" s="62" t="s">
        <v>75</v>
      </c>
      <c r="G6" s="63"/>
      <c r="H6" s="63"/>
      <c r="I6" s="63"/>
      <c r="J6" s="63"/>
      <c r="K6" s="63"/>
      <c r="L6" s="63"/>
      <c r="M6" s="63"/>
      <c r="N6" s="63"/>
      <c r="O6" s="63"/>
      <c r="P6" s="64"/>
      <c r="Q6" s="57"/>
      <c r="R6" s="57"/>
      <c r="S6" s="57"/>
      <c r="T6" s="57"/>
      <c r="U6" s="57"/>
      <c r="V6" s="57"/>
      <c r="W6" s="57"/>
      <c r="X6" s="57"/>
    </row>
    <row r="7" spans="1:24" x14ac:dyDescent="0.3">
      <c r="A7" s="57"/>
      <c r="B7" s="57"/>
      <c r="C7" s="57"/>
      <c r="D7" s="57"/>
      <c r="E7" s="57"/>
      <c r="F7" s="57"/>
      <c r="G7" s="57"/>
      <c r="H7" s="57"/>
      <c r="I7" s="57"/>
      <c r="J7" s="57"/>
      <c r="K7" s="57"/>
      <c r="L7" s="57"/>
      <c r="M7" s="57"/>
      <c r="N7" s="57"/>
      <c r="O7" s="57"/>
      <c r="P7" s="57"/>
      <c r="Q7" s="57"/>
      <c r="R7" s="57"/>
      <c r="S7" s="57"/>
      <c r="T7" s="57"/>
      <c r="U7" s="57"/>
      <c r="V7" s="57"/>
      <c r="W7" s="57"/>
      <c r="X7" s="57"/>
    </row>
    <row r="8" spans="1:24" x14ac:dyDescent="0.3">
      <c r="A8" s="57"/>
      <c r="B8" s="57"/>
      <c r="C8" s="57"/>
      <c r="D8" s="57"/>
      <c r="E8" s="57"/>
      <c r="F8" s="57"/>
      <c r="G8" s="57"/>
      <c r="H8" s="57"/>
      <c r="I8" s="57"/>
      <c r="J8" s="57"/>
      <c r="K8" s="57"/>
      <c r="L8" s="57"/>
      <c r="M8" s="57"/>
      <c r="N8" s="57"/>
      <c r="O8" s="57"/>
      <c r="P8" s="57"/>
      <c r="Q8" s="57"/>
      <c r="R8" s="57"/>
      <c r="S8" s="57"/>
      <c r="T8" s="57"/>
      <c r="U8" s="57"/>
      <c r="V8" s="57"/>
      <c r="W8" s="57"/>
      <c r="X8" s="57"/>
    </row>
    <row r="9" spans="1:24" x14ac:dyDescent="0.3">
      <c r="A9" s="57"/>
      <c r="B9" s="57"/>
      <c r="C9" s="57"/>
      <c r="D9" s="57"/>
      <c r="E9" s="57"/>
      <c r="F9" s="57"/>
      <c r="G9" s="57"/>
      <c r="H9" s="57"/>
      <c r="I9" s="57"/>
      <c r="J9" s="57"/>
      <c r="K9" s="57"/>
      <c r="L9" s="57"/>
      <c r="M9" s="57"/>
      <c r="N9" s="57"/>
      <c r="O9" s="57"/>
      <c r="P9" s="57"/>
      <c r="Q9" s="57"/>
      <c r="R9" s="57"/>
      <c r="S9" s="57"/>
      <c r="T9" s="57"/>
      <c r="U9" s="57"/>
      <c r="V9" s="57"/>
      <c r="W9" s="57"/>
      <c r="X9" s="57"/>
    </row>
    <row r="10" spans="1:24" x14ac:dyDescent="0.3">
      <c r="A10" s="57"/>
      <c r="B10" s="57"/>
      <c r="C10" s="57"/>
      <c r="D10" s="57"/>
      <c r="E10" s="57"/>
      <c r="F10" s="57"/>
      <c r="G10" s="57"/>
      <c r="H10" s="57"/>
      <c r="I10" s="57"/>
      <c r="J10" s="57"/>
      <c r="K10" s="57"/>
      <c r="L10" s="57"/>
      <c r="M10" s="57"/>
      <c r="N10" s="57"/>
      <c r="O10" s="57"/>
      <c r="P10" s="57"/>
      <c r="Q10" s="57"/>
      <c r="R10" s="57"/>
      <c r="S10" s="57"/>
      <c r="T10" s="57"/>
      <c r="U10" s="57"/>
      <c r="V10" s="57"/>
      <c r="W10" s="57"/>
      <c r="X10" s="57"/>
    </row>
    <row r="11" spans="1:24" x14ac:dyDescent="0.3">
      <c r="A11" s="57"/>
      <c r="B11" s="57"/>
      <c r="C11" s="57"/>
      <c r="D11" s="57"/>
      <c r="E11" s="57"/>
      <c r="F11" s="57"/>
      <c r="G11" s="57"/>
      <c r="H11" s="57"/>
      <c r="I11" s="57"/>
      <c r="J11" s="57"/>
      <c r="K11" s="57"/>
      <c r="L11" s="57"/>
      <c r="M11" s="57"/>
      <c r="N11" s="57"/>
      <c r="O11" s="57"/>
      <c r="P11" s="57"/>
      <c r="Q11" s="57"/>
      <c r="R11" s="57"/>
      <c r="S11" s="57"/>
      <c r="T11" s="57"/>
      <c r="U11" s="57"/>
      <c r="V11" s="57"/>
      <c r="W11" s="57"/>
      <c r="X11" s="57"/>
    </row>
    <row r="12" spans="1:24" x14ac:dyDescent="0.3">
      <c r="A12" s="57"/>
      <c r="B12" s="57"/>
      <c r="C12" s="57"/>
      <c r="D12" s="57"/>
      <c r="E12" s="57"/>
      <c r="F12" s="57"/>
      <c r="G12" s="57"/>
      <c r="H12" s="57"/>
      <c r="I12" s="57"/>
      <c r="J12" s="57"/>
      <c r="K12" s="57"/>
      <c r="L12" s="57"/>
      <c r="M12" s="57"/>
      <c r="N12" s="57"/>
      <c r="O12" s="57"/>
      <c r="P12" s="57"/>
      <c r="Q12" s="57"/>
      <c r="R12" s="57"/>
      <c r="S12" s="57"/>
      <c r="T12" s="57"/>
      <c r="U12" s="57"/>
      <c r="V12" s="57"/>
      <c r="W12" s="57"/>
      <c r="X12" s="57"/>
    </row>
    <row r="13" spans="1:24" x14ac:dyDescent="0.3">
      <c r="A13" s="57"/>
      <c r="B13" s="57"/>
      <c r="C13" s="57"/>
      <c r="D13" s="57"/>
      <c r="E13" s="57"/>
      <c r="F13" s="57"/>
      <c r="G13" s="57"/>
      <c r="H13" s="57"/>
      <c r="I13" s="57"/>
      <c r="J13" s="57"/>
      <c r="K13" s="57"/>
      <c r="L13" s="57"/>
      <c r="M13" s="57"/>
      <c r="N13" s="57"/>
      <c r="O13" s="57"/>
      <c r="P13" s="57"/>
      <c r="Q13" s="57"/>
      <c r="R13" s="57"/>
      <c r="S13" s="57"/>
      <c r="T13" s="57"/>
      <c r="U13" s="57"/>
      <c r="V13" s="57"/>
      <c r="W13" s="57"/>
      <c r="X13" s="57"/>
    </row>
    <row r="14" spans="1:24" x14ac:dyDescent="0.3">
      <c r="A14" s="57"/>
      <c r="B14" s="57"/>
      <c r="C14" s="57"/>
      <c r="D14" s="57"/>
      <c r="E14" s="57"/>
      <c r="F14" s="57"/>
      <c r="G14" s="57"/>
      <c r="H14" s="57"/>
      <c r="I14" s="57"/>
      <c r="J14" s="57"/>
      <c r="K14" s="57"/>
      <c r="L14" s="57"/>
      <c r="M14" s="57"/>
      <c r="N14" s="57"/>
      <c r="O14" s="57"/>
      <c r="P14" s="57"/>
      <c r="Q14" s="57"/>
      <c r="R14" s="57"/>
      <c r="S14" s="57"/>
      <c r="T14" s="57"/>
      <c r="U14" s="57"/>
      <c r="V14" s="57"/>
      <c r="W14" s="57"/>
      <c r="X14" s="57"/>
    </row>
    <row r="15" spans="1:24" x14ac:dyDescent="0.3">
      <c r="A15" s="57"/>
      <c r="B15" s="57"/>
      <c r="C15" s="57"/>
      <c r="D15" s="57"/>
      <c r="E15" s="57"/>
      <c r="F15" s="57"/>
      <c r="G15" s="57"/>
      <c r="H15" s="57"/>
      <c r="I15" s="57"/>
      <c r="J15" s="57"/>
      <c r="K15" s="57"/>
      <c r="L15" s="57"/>
      <c r="M15" s="57"/>
      <c r="N15" s="57"/>
      <c r="O15" s="57"/>
      <c r="P15" s="57"/>
      <c r="Q15" s="57"/>
      <c r="R15" s="57"/>
      <c r="S15" s="57"/>
      <c r="T15" s="57"/>
      <c r="U15" s="57"/>
      <c r="V15" s="57"/>
      <c r="W15" s="57"/>
      <c r="X15" s="57"/>
    </row>
    <row r="16" spans="1:24" x14ac:dyDescent="0.3">
      <c r="A16" s="57"/>
      <c r="B16" s="57"/>
      <c r="C16" s="57"/>
      <c r="D16" s="57"/>
      <c r="E16" s="57"/>
      <c r="F16" s="57"/>
      <c r="G16" s="57"/>
      <c r="H16" s="57"/>
      <c r="I16" s="57"/>
      <c r="J16" s="57"/>
      <c r="K16" s="57"/>
      <c r="L16" s="57"/>
      <c r="M16" s="57"/>
      <c r="N16" s="57"/>
      <c r="O16" s="57"/>
      <c r="P16" s="57"/>
      <c r="Q16" s="57"/>
      <c r="R16" s="57"/>
      <c r="S16" s="57"/>
      <c r="T16" s="57"/>
      <c r="U16" s="57"/>
      <c r="V16" s="57"/>
      <c r="W16" s="57"/>
      <c r="X16" s="57"/>
    </row>
    <row r="17" spans="1:24" x14ac:dyDescent="0.3">
      <c r="A17" s="57"/>
      <c r="B17" s="57"/>
      <c r="C17" s="57"/>
      <c r="D17" s="57"/>
      <c r="E17" s="57"/>
      <c r="F17" s="57"/>
      <c r="G17" s="57"/>
      <c r="H17" s="57"/>
      <c r="I17" s="57"/>
      <c r="J17" s="57"/>
      <c r="K17" s="57"/>
      <c r="L17" s="57"/>
      <c r="M17" s="57"/>
      <c r="N17" s="57"/>
      <c r="O17" s="57"/>
      <c r="P17" s="57"/>
      <c r="Q17" s="57"/>
      <c r="R17" s="57"/>
      <c r="S17" s="57"/>
      <c r="T17" s="57"/>
      <c r="U17" s="57"/>
      <c r="V17" s="57"/>
      <c r="W17" s="57"/>
      <c r="X17" s="57"/>
    </row>
    <row r="18" spans="1:24" x14ac:dyDescent="0.3">
      <c r="A18" s="57"/>
      <c r="B18" s="57"/>
      <c r="C18" s="57"/>
      <c r="D18" s="57"/>
      <c r="E18" s="57"/>
      <c r="F18" s="57"/>
      <c r="G18" s="57"/>
      <c r="H18" s="57"/>
      <c r="I18" s="57"/>
      <c r="J18" s="57"/>
      <c r="K18" s="57"/>
      <c r="L18" s="57"/>
      <c r="M18" s="57"/>
      <c r="N18" s="57"/>
      <c r="O18" s="57"/>
      <c r="P18" s="57"/>
      <c r="Q18" s="57"/>
      <c r="R18" s="57"/>
      <c r="S18" s="57"/>
      <c r="T18" s="57"/>
      <c r="U18" s="57"/>
      <c r="V18" s="57"/>
      <c r="W18" s="57"/>
      <c r="X18" s="57"/>
    </row>
    <row r="19" spans="1:24" ht="15" thickBot="1" x14ac:dyDescent="0.35">
      <c r="A19" s="57"/>
      <c r="B19" s="57"/>
      <c r="C19" s="57"/>
      <c r="D19" s="57"/>
      <c r="E19" s="57"/>
      <c r="F19" s="57"/>
      <c r="G19" s="57"/>
      <c r="H19" s="57"/>
      <c r="I19" s="57"/>
      <c r="J19" s="57"/>
      <c r="K19" s="57"/>
      <c r="L19" s="57"/>
      <c r="M19" s="57"/>
      <c r="N19" s="57"/>
      <c r="O19" s="57"/>
      <c r="P19" s="57"/>
      <c r="Q19" s="57"/>
      <c r="R19" s="57"/>
      <c r="S19" s="57"/>
      <c r="T19" s="57"/>
      <c r="U19" s="57"/>
      <c r="V19" s="57"/>
      <c r="W19" s="57"/>
      <c r="X19" s="57"/>
    </row>
    <row r="20" spans="1:24" ht="18.600000000000001" thickBot="1" x14ac:dyDescent="0.4">
      <c r="A20" s="57"/>
      <c r="B20" s="57"/>
      <c r="C20" s="57"/>
      <c r="D20" s="57"/>
      <c r="E20" s="57"/>
      <c r="F20" s="62" t="s">
        <v>70</v>
      </c>
      <c r="G20" s="63"/>
      <c r="H20" s="63"/>
      <c r="I20" s="63"/>
      <c r="J20" s="63"/>
      <c r="K20" s="63"/>
      <c r="L20" s="63"/>
      <c r="M20" s="63"/>
      <c r="N20" s="63"/>
      <c r="O20" s="63"/>
      <c r="P20" s="64"/>
      <c r="Q20" s="57"/>
      <c r="R20" s="57"/>
      <c r="S20" s="57"/>
      <c r="T20" s="57"/>
      <c r="U20" s="57"/>
      <c r="V20" s="57"/>
      <c r="W20" s="57"/>
      <c r="X20" s="57"/>
    </row>
    <row r="21" spans="1:24" x14ac:dyDescent="0.3">
      <c r="A21" s="57"/>
      <c r="B21" s="57"/>
      <c r="C21" s="57"/>
      <c r="D21" s="57"/>
      <c r="E21" s="57"/>
      <c r="F21" s="57"/>
      <c r="G21" s="57"/>
      <c r="H21" s="57"/>
      <c r="I21" s="57"/>
      <c r="J21" s="57"/>
      <c r="K21" s="57"/>
      <c r="L21" s="57"/>
      <c r="M21" s="57"/>
      <c r="N21" s="57"/>
      <c r="O21" s="57"/>
      <c r="P21" s="57"/>
      <c r="Q21" s="57"/>
      <c r="R21" s="57"/>
      <c r="S21" s="57"/>
      <c r="T21" s="57"/>
      <c r="U21" s="57"/>
      <c r="V21" s="57"/>
      <c r="W21" s="57"/>
      <c r="X21" s="57"/>
    </row>
    <row r="22" spans="1:24" x14ac:dyDescent="0.3">
      <c r="A22" s="57"/>
      <c r="B22" s="57"/>
      <c r="C22" s="57"/>
      <c r="D22" s="57"/>
      <c r="E22" s="57"/>
      <c r="F22" s="57"/>
      <c r="G22" s="57"/>
      <c r="H22" s="57"/>
      <c r="I22" s="57"/>
      <c r="J22" s="57"/>
      <c r="K22" s="57"/>
      <c r="L22" s="57"/>
      <c r="M22" s="57"/>
      <c r="N22" s="57"/>
      <c r="O22" s="57"/>
      <c r="P22" s="57"/>
      <c r="Q22" s="57"/>
      <c r="R22" s="57"/>
      <c r="S22" s="57"/>
      <c r="T22" s="57"/>
      <c r="U22" s="57"/>
      <c r="V22" s="57"/>
      <c r="W22" s="57"/>
      <c r="X22" s="57"/>
    </row>
    <row r="23" spans="1:24" x14ac:dyDescent="0.3">
      <c r="A23" s="57"/>
      <c r="B23" s="57"/>
      <c r="C23" s="57"/>
      <c r="D23" s="57"/>
      <c r="E23" s="57"/>
      <c r="F23" s="57"/>
      <c r="G23" s="57"/>
      <c r="H23" s="57"/>
      <c r="I23" s="57"/>
      <c r="J23" s="57"/>
      <c r="K23" s="57"/>
      <c r="L23" s="57"/>
      <c r="M23" s="57"/>
      <c r="N23" s="57"/>
      <c r="O23" s="57"/>
      <c r="P23" s="57"/>
      <c r="Q23" s="57"/>
      <c r="R23" s="57"/>
      <c r="S23" s="57"/>
      <c r="T23" s="57"/>
      <c r="U23" s="57"/>
      <c r="V23" s="57"/>
      <c r="W23" s="57"/>
      <c r="X23" s="57"/>
    </row>
    <row r="24" spans="1:24" x14ac:dyDescent="0.3">
      <c r="A24" s="57"/>
      <c r="B24" s="57"/>
      <c r="C24" s="57"/>
      <c r="D24" s="57"/>
      <c r="E24" s="57"/>
      <c r="F24" s="57"/>
      <c r="G24" s="57"/>
      <c r="H24" s="57"/>
      <c r="I24" s="57"/>
      <c r="J24" s="57"/>
      <c r="K24" s="57"/>
      <c r="L24" s="57"/>
      <c r="M24" s="57"/>
      <c r="N24" s="57"/>
      <c r="O24" s="57"/>
      <c r="P24" s="57"/>
      <c r="Q24" s="57"/>
      <c r="R24" s="57"/>
      <c r="S24" s="57"/>
      <c r="T24" s="57"/>
      <c r="U24" s="57"/>
      <c r="V24" s="57"/>
      <c r="W24" s="57"/>
      <c r="X24" s="57"/>
    </row>
    <row r="25" spans="1:24" x14ac:dyDescent="0.3">
      <c r="A25" s="57"/>
      <c r="B25" s="57"/>
      <c r="C25" s="57"/>
      <c r="D25" s="57"/>
      <c r="E25" s="57"/>
      <c r="F25" s="57"/>
      <c r="G25" s="57"/>
      <c r="H25" s="57"/>
      <c r="I25" s="57"/>
      <c r="J25" s="57"/>
      <c r="K25" s="57"/>
      <c r="L25" s="57"/>
      <c r="M25" s="57"/>
      <c r="N25" s="57"/>
      <c r="O25" s="57"/>
      <c r="P25" s="57"/>
      <c r="Q25" s="57"/>
      <c r="R25" s="57"/>
      <c r="S25" s="57"/>
      <c r="T25" s="57"/>
      <c r="U25" s="57"/>
      <c r="V25" s="57"/>
      <c r="W25" s="57"/>
      <c r="X25" s="57"/>
    </row>
    <row r="26" spans="1:24" x14ac:dyDescent="0.3">
      <c r="A26" s="57"/>
      <c r="B26" s="57"/>
      <c r="C26" s="57"/>
      <c r="D26" s="57"/>
      <c r="E26" s="57"/>
      <c r="F26" s="57"/>
      <c r="G26" s="57"/>
      <c r="H26" s="57"/>
      <c r="I26" s="57"/>
      <c r="J26" s="57"/>
      <c r="K26" s="57"/>
      <c r="L26" s="57"/>
      <c r="M26" s="57"/>
      <c r="N26" s="57"/>
      <c r="O26" s="57"/>
      <c r="P26" s="57"/>
      <c r="Q26" s="57"/>
      <c r="R26" s="57"/>
      <c r="S26" s="57"/>
      <c r="T26" s="57"/>
      <c r="U26" s="57"/>
      <c r="V26" s="57"/>
      <c r="W26" s="57"/>
      <c r="X26" s="57"/>
    </row>
    <row r="27" spans="1:24" x14ac:dyDescent="0.3">
      <c r="A27" s="57"/>
      <c r="B27" s="57"/>
      <c r="C27" s="57"/>
      <c r="D27" s="57"/>
      <c r="E27" s="57"/>
      <c r="F27" s="57"/>
      <c r="G27" s="57"/>
      <c r="H27" s="57"/>
      <c r="I27" s="57"/>
      <c r="J27" s="57"/>
      <c r="K27" s="57"/>
      <c r="L27" s="57"/>
      <c r="M27" s="57"/>
      <c r="N27" s="57"/>
      <c r="O27" s="57"/>
      <c r="P27" s="57"/>
      <c r="Q27" s="57"/>
      <c r="R27" s="57"/>
      <c r="S27" s="57"/>
      <c r="T27" s="57"/>
      <c r="U27" s="57"/>
      <c r="V27" s="57"/>
      <c r="W27" s="57"/>
      <c r="X27" s="57"/>
    </row>
    <row r="28" spans="1:24" x14ac:dyDescent="0.3">
      <c r="A28" s="57"/>
      <c r="B28" s="57"/>
      <c r="C28" s="57"/>
      <c r="D28" s="57"/>
      <c r="E28" s="57"/>
      <c r="F28" s="57"/>
      <c r="G28" s="57"/>
      <c r="H28" s="57"/>
      <c r="I28" s="57"/>
      <c r="J28" s="57"/>
      <c r="K28" s="57"/>
      <c r="L28" s="57"/>
      <c r="M28" s="57"/>
      <c r="N28" s="57"/>
      <c r="O28" s="57"/>
      <c r="P28" s="57"/>
      <c r="Q28" s="57"/>
      <c r="R28" s="57"/>
      <c r="S28" s="57"/>
      <c r="T28" s="57"/>
      <c r="U28" s="57"/>
      <c r="V28" s="57"/>
      <c r="W28" s="57"/>
      <c r="X28" s="57"/>
    </row>
    <row r="29" spans="1:24" x14ac:dyDescent="0.3">
      <c r="A29" s="57"/>
      <c r="B29" s="57"/>
      <c r="C29" s="57"/>
      <c r="D29" s="57"/>
      <c r="E29" s="57"/>
      <c r="F29" s="57"/>
      <c r="G29" s="57"/>
      <c r="H29" s="57"/>
      <c r="I29" s="57"/>
      <c r="J29" s="57"/>
      <c r="K29" s="57"/>
      <c r="L29" s="57"/>
      <c r="M29" s="57"/>
      <c r="N29" s="57"/>
      <c r="O29" s="57"/>
      <c r="P29" s="57"/>
      <c r="Q29" s="57"/>
      <c r="R29" s="57"/>
      <c r="S29" s="57"/>
      <c r="T29" s="57"/>
      <c r="U29" s="57"/>
      <c r="V29" s="57"/>
      <c r="W29" s="57"/>
      <c r="X29" s="57"/>
    </row>
    <row r="30" spans="1:24" x14ac:dyDescent="0.3">
      <c r="A30" s="57"/>
      <c r="B30" s="57"/>
      <c r="C30" s="57"/>
      <c r="D30" s="57"/>
      <c r="E30" s="57"/>
      <c r="F30" s="57"/>
      <c r="G30" s="57"/>
      <c r="H30" s="57"/>
      <c r="I30" s="57"/>
      <c r="J30" s="57"/>
      <c r="K30" s="57"/>
      <c r="L30" s="57"/>
      <c r="M30" s="57"/>
      <c r="N30" s="57"/>
      <c r="O30" s="57"/>
      <c r="P30" s="57"/>
      <c r="Q30" s="57"/>
      <c r="R30" s="57"/>
      <c r="S30" s="57"/>
      <c r="T30" s="57"/>
      <c r="U30" s="57"/>
      <c r="V30" s="57"/>
      <c r="W30" s="57"/>
      <c r="X30" s="57"/>
    </row>
    <row r="31" spans="1:24" x14ac:dyDescent="0.3">
      <c r="A31" s="57"/>
      <c r="B31" s="57"/>
      <c r="C31" s="57"/>
      <c r="D31" s="57"/>
      <c r="E31" s="57"/>
      <c r="F31" s="57"/>
      <c r="G31" s="57"/>
      <c r="H31" s="57"/>
      <c r="I31" s="57"/>
      <c r="J31" s="57"/>
      <c r="K31" s="57"/>
      <c r="L31" s="57"/>
      <c r="M31" s="57"/>
      <c r="N31" s="57"/>
      <c r="O31" s="57"/>
      <c r="P31" s="57"/>
      <c r="Q31" s="57"/>
      <c r="R31" s="57"/>
      <c r="S31" s="57"/>
      <c r="T31" s="57"/>
      <c r="U31" s="57"/>
      <c r="V31" s="57"/>
      <c r="W31" s="57"/>
      <c r="X31" s="57"/>
    </row>
    <row r="32" spans="1:24" x14ac:dyDescent="0.3">
      <c r="A32" s="57"/>
      <c r="B32" s="57"/>
      <c r="C32" s="57"/>
      <c r="D32" s="57"/>
      <c r="E32" s="57"/>
      <c r="F32" s="57"/>
      <c r="G32" s="57"/>
      <c r="H32" s="57"/>
      <c r="I32" s="57"/>
      <c r="J32" s="57"/>
      <c r="K32" s="57"/>
      <c r="L32" s="57"/>
      <c r="M32" s="57"/>
      <c r="N32" s="57"/>
      <c r="O32" s="57"/>
      <c r="P32" s="57"/>
      <c r="Q32" s="57"/>
      <c r="R32" s="57"/>
      <c r="S32" s="57"/>
      <c r="T32" s="57"/>
      <c r="U32" s="57"/>
      <c r="V32" s="57"/>
      <c r="W32" s="57"/>
      <c r="X32" s="57"/>
    </row>
    <row r="33" spans="1:24" x14ac:dyDescent="0.3">
      <c r="A33" s="57"/>
      <c r="B33" s="57"/>
      <c r="C33" s="57"/>
      <c r="D33" s="57"/>
      <c r="E33" s="57"/>
      <c r="F33" s="57"/>
      <c r="G33" s="57"/>
      <c r="H33" s="57"/>
      <c r="I33" s="57"/>
      <c r="J33" s="57"/>
      <c r="K33" s="57"/>
      <c r="L33" s="57"/>
      <c r="M33" s="57"/>
      <c r="N33" s="57"/>
      <c r="O33" s="57"/>
      <c r="P33" s="57"/>
      <c r="Q33" s="57"/>
      <c r="R33" s="57"/>
      <c r="S33" s="57"/>
      <c r="T33" s="57"/>
      <c r="U33" s="57"/>
      <c r="V33" s="57"/>
      <c r="W33" s="57"/>
      <c r="X33" s="57"/>
    </row>
    <row r="34" spans="1:24" x14ac:dyDescent="0.3">
      <c r="A34" s="57"/>
      <c r="B34" s="57"/>
      <c r="C34" s="57"/>
      <c r="D34" s="57"/>
      <c r="E34" s="57"/>
      <c r="F34" s="57"/>
      <c r="G34" s="57"/>
      <c r="H34" s="57"/>
      <c r="I34" s="57"/>
      <c r="J34" s="57"/>
      <c r="K34" s="57"/>
      <c r="L34" s="57"/>
      <c r="M34" s="57"/>
      <c r="N34" s="57"/>
      <c r="O34" s="57"/>
      <c r="P34" s="57"/>
      <c r="Q34" s="57"/>
      <c r="R34" s="57"/>
      <c r="S34" s="57"/>
      <c r="T34" s="57"/>
      <c r="U34" s="57"/>
      <c r="V34" s="57"/>
      <c r="W34" s="57"/>
      <c r="X34" s="57"/>
    </row>
    <row r="35" spans="1:24" x14ac:dyDescent="0.3">
      <c r="A35" s="57"/>
      <c r="B35" s="57"/>
      <c r="C35" s="57"/>
      <c r="D35" s="57"/>
      <c r="E35" s="57"/>
      <c r="F35" s="57"/>
      <c r="G35" s="57"/>
      <c r="H35" s="57"/>
      <c r="I35" s="57"/>
      <c r="J35" s="57"/>
      <c r="K35" s="57"/>
      <c r="L35" s="57"/>
      <c r="M35" s="57"/>
      <c r="N35" s="57"/>
      <c r="O35" s="57"/>
      <c r="P35" s="57"/>
      <c r="Q35" s="57"/>
      <c r="R35" s="57"/>
      <c r="S35" s="57"/>
      <c r="T35" s="57"/>
      <c r="U35" s="57"/>
      <c r="V35" s="57"/>
      <c r="W35" s="57"/>
      <c r="X35" s="57"/>
    </row>
    <row r="36" spans="1:24" x14ac:dyDescent="0.3">
      <c r="A36" s="57"/>
      <c r="B36" s="57"/>
      <c r="C36" s="57"/>
      <c r="D36" s="57"/>
      <c r="E36" s="57"/>
      <c r="F36" s="57"/>
      <c r="G36" s="57"/>
      <c r="H36" s="57"/>
      <c r="I36" s="57"/>
      <c r="J36" s="57"/>
      <c r="K36" s="57"/>
      <c r="L36" s="57"/>
      <c r="M36" s="57"/>
      <c r="N36" s="57"/>
      <c r="O36" s="57"/>
      <c r="P36" s="57"/>
      <c r="Q36" s="57"/>
      <c r="R36" s="57"/>
      <c r="S36" s="57"/>
      <c r="T36" s="57"/>
      <c r="U36" s="57"/>
      <c r="V36" s="57"/>
      <c r="W36" s="57"/>
      <c r="X36" s="57"/>
    </row>
    <row r="37" spans="1:24" x14ac:dyDescent="0.3">
      <c r="A37" s="57"/>
      <c r="B37" s="57"/>
      <c r="C37" s="57"/>
      <c r="D37" s="57"/>
      <c r="E37" s="57"/>
      <c r="F37" s="57"/>
      <c r="G37" s="57"/>
      <c r="H37" s="57"/>
      <c r="I37" s="57"/>
      <c r="J37" s="57"/>
      <c r="K37" s="57"/>
      <c r="L37" s="57"/>
      <c r="M37" s="57"/>
      <c r="N37" s="57"/>
      <c r="O37" s="57"/>
      <c r="P37" s="57"/>
      <c r="Q37" s="57"/>
      <c r="R37" s="57"/>
      <c r="S37" s="57"/>
      <c r="T37" s="57"/>
      <c r="U37" s="57"/>
      <c r="V37" s="57"/>
      <c r="W37" s="57"/>
      <c r="X37" s="57"/>
    </row>
    <row r="38" spans="1:24" x14ac:dyDescent="0.3">
      <c r="A38" s="57"/>
      <c r="B38" s="57"/>
      <c r="C38" s="57"/>
      <c r="D38" s="57"/>
      <c r="E38" s="57"/>
      <c r="F38" s="57"/>
      <c r="G38" s="57"/>
      <c r="H38" s="57"/>
      <c r="I38" s="57"/>
      <c r="J38" s="57"/>
      <c r="K38" s="57"/>
      <c r="L38" s="57"/>
      <c r="M38" s="57"/>
      <c r="N38" s="57"/>
      <c r="O38" s="57"/>
      <c r="P38" s="57"/>
      <c r="Q38" s="57"/>
      <c r="R38" s="57"/>
      <c r="S38" s="57"/>
      <c r="T38" s="57"/>
      <c r="U38" s="57"/>
      <c r="V38" s="57"/>
      <c r="W38" s="57"/>
      <c r="X38" s="57"/>
    </row>
    <row r="39" spans="1:24" x14ac:dyDescent="0.3">
      <c r="A39" s="57"/>
      <c r="B39" s="57"/>
      <c r="C39" s="57"/>
      <c r="D39" s="57"/>
      <c r="E39" s="57"/>
      <c r="F39" s="57"/>
      <c r="G39" s="57"/>
      <c r="H39" s="57"/>
      <c r="I39" s="57"/>
      <c r="J39" s="57"/>
      <c r="K39" s="57"/>
      <c r="L39" s="57"/>
      <c r="M39" s="57"/>
      <c r="N39" s="57"/>
      <c r="O39" s="57"/>
      <c r="P39" s="57"/>
      <c r="Q39" s="57"/>
      <c r="R39" s="57"/>
      <c r="S39" s="57"/>
      <c r="T39" s="57"/>
      <c r="U39" s="57"/>
      <c r="V39" s="57"/>
      <c r="W39" s="57"/>
      <c r="X39" s="57"/>
    </row>
    <row r="40" spans="1:24" x14ac:dyDescent="0.3">
      <c r="A40" s="57"/>
      <c r="B40" s="57"/>
      <c r="C40" s="57"/>
      <c r="D40" s="57"/>
      <c r="E40" s="57"/>
      <c r="F40" s="57"/>
      <c r="G40" s="57"/>
      <c r="H40" s="57"/>
      <c r="I40" s="57"/>
      <c r="J40" s="57"/>
      <c r="K40" s="57"/>
      <c r="L40" s="57"/>
      <c r="M40" s="57"/>
      <c r="N40" s="57"/>
      <c r="O40" s="57"/>
      <c r="P40" s="57"/>
      <c r="Q40" s="57"/>
      <c r="R40" s="57"/>
      <c r="S40" s="57"/>
      <c r="T40" s="57"/>
      <c r="U40" s="57"/>
      <c r="V40" s="57"/>
      <c r="W40" s="57"/>
      <c r="X40" s="57"/>
    </row>
    <row r="41" spans="1:24" x14ac:dyDescent="0.3">
      <c r="A41" s="57"/>
      <c r="B41" s="57"/>
      <c r="C41" s="57"/>
      <c r="D41" s="57"/>
      <c r="E41" s="57"/>
      <c r="F41" s="57"/>
      <c r="G41" s="57"/>
      <c r="H41" s="57"/>
      <c r="I41" s="57"/>
      <c r="J41" s="57"/>
      <c r="K41" s="57"/>
      <c r="L41" s="57"/>
      <c r="M41" s="57"/>
      <c r="N41" s="57"/>
      <c r="O41" s="57"/>
      <c r="P41" s="57"/>
      <c r="Q41" s="57"/>
      <c r="R41" s="57"/>
      <c r="S41" s="57"/>
      <c r="T41" s="57"/>
      <c r="U41" s="57"/>
      <c r="V41" s="57"/>
      <c r="W41" s="57"/>
      <c r="X41" s="57"/>
    </row>
    <row r="42" spans="1:24" x14ac:dyDescent="0.3">
      <c r="A42" s="57"/>
      <c r="B42" s="57"/>
      <c r="C42" s="57"/>
      <c r="D42" s="57"/>
      <c r="E42" s="57"/>
      <c r="F42" s="57"/>
      <c r="G42" s="57"/>
      <c r="H42" s="57"/>
      <c r="I42" s="57"/>
      <c r="J42" s="57"/>
      <c r="K42" s="57"/>
      <c r="L42" s="57"/>
      <c r="M42" s="57"/>
      <c r="N42" s="57"/>
      <c r="O42" s="57"/>
      <c r="P42" s="57"/>
      <c r="Q42" s="57"/>
      <c r="R42" s="57"/>
      <c r="S42" s="57"/>
      <c r="T42" s="57"/>
      <c r="U42" s="57"/>
      <c r="V42" s="57"/>
      <c r="W42" s="57"/>
      <c r="X42" s="57"/>
    </row>
    <row r="43" spans="1:24" x14ac:dyDescent="0.3">
      <c r="A43" s="57"/>
      <c r="B43" s="57"/>
      <c r="C43" s="57"/>
      <c r="D43" s="57"/>
      <c r="E43" s="57"/>
      <c r="F43" s="57"/>
      <c r="G43" s="57"/>
      <c r="H43" s="57"/>
      <c r="I43" s="57"/>
      <c r="J43" s="57"/>
      <c r="K43" s="57"/>
      <c r="L43" s="57"/>
      <c r="M43" s="57"/>
      <c r="N43" s="57"/>
      <c r="O43" s="57"/>
      <c r="P43" s="57"/>
      <c r="Q43" s="57"/>
      <c r="R43" s="57"/>
      <c r="S43" s="57"/>
      <c r="T43" s="57"/>
      <c r="U43" s="57"/>
      <c r="V43" s="57"/>
      <c r="W43" s="57"/>
      <c r="X43" s="57"/>
    </row>
    <row r="44" spans="1:24" x14ac:dyDescent="0.3">
      <c r="A44" s="57"/>
      <c r="B44" s="57"/>
      <c r="C44" s="57"/>
      <c r="D44" s="57"/>
      <c r="E44" s="57"/>
      <c r="F44" s="57"/>
      <c r="G44" s="57"/>
      <c r="H44" s="57"/>
      <c r="I44" s="57"/>
      <c r="J44" s="57"/>
      <c r="K44" s="57"/>
      <c r="L44" s="57"/>
      <c r="M44" s="57"/>
      <c r="N44" s="57"/>
      <c r="O44" s="57"/>
      <c r="P44" s="57"/>
      <c r="Q44" s="57"/>
      <c r="R44" s="57"/>
      <c r="S44" s="57"/>
      <c r="T44" s="57"/>
      <c r="U44" s="57"/>
      <c r="V44" s="57"/>
      <c r="W44" s="57"/>
      <c r="X44" s="57"/>
    </row>
    <row r="45" spans="1:24" x14ac:dyDescent="0.3">
      <c r="A45" s="57"/>
      <c r="B45" s="57"/>
      <c r="C45" s="57"/>
      <c r="D45" s="57"/>
      <c r="E45" s="57"/>
      <c r="F45" s="57"/>
      <c r="G45" s="57"/>
      <c r="H45" s="57"/>
      <c r="I45" s="57"/>
      <c r="J45" s="57"/>
      <c r="K45" s="57"/>
      <c r="L45" s="57"/>
      <c r="M45" s="57"/>
      <c r="N45" s="57"/>
      <c r="O45" s="57"/>
      <c r="P45" s="57"/>
      <c r="Q45" s="57"/>
      <c r="R45" s="57"/>
      <c r="S45" s="57"/>
      <c r="T45" s="57"/>
      <c r="U45" s="57"/>
      <c r="V45" s="57"/>
      <c r="W45" s="57"/>
      <c r="X45" s="57"/>
    </row>
    <row r="46" spans="1:24" x14ac:dyDescent="0.3">
      <c r="A46" s="57"/>
      <c r="B46" s="57"/>
      <c r="C46" s="57"/>
      <c r="D46" s="57"/>
      <c r="E46" s="57"/>
      <c r="F46" s="57"/>
      <c r="G46" s="57"/>
      <c r="H46" s="57"/>
      <c r="I46" s="57"/>
      <c r="J46" s="57"/>
      <c r="K46" s="57"/>
      <c r="L46" s="57"/>
      <c r="M46" s="57"/>
      <c r="N46" s="57"/>
      <c r="O46" s="57"/>
      <c r="P46" s="57"/>
      <c r="Q46" s="57"/>
      <c r="R46" s="57"/>
      <c r="S46" s="57"/>
      <c r="T46" s="57"/>
      <c r="U46" s="57"/>
      <c r="V46" s="57"/>
      <c r="W46" s="57"/>
      <c r="X46" s="57"/>
    </row>
    <row r="47" spans="1:24" x14ac:dyDescent="0.3">
      <c r="A47" s="57"/>
      <c r="B47" s="57"/>
      <c r="C47" s="57"/>
      <c r="D47" s="57"/>
      <c r="E47" s="57"/>
      <c r="F47" s="57"/>
      <c r="G47" s="57"/>
      <c r="H47" s="57"/>
      <c r="I47" s="57"/>
      <c r="J47" s="57"/>
      <c r="K47" s="57"/>
      <c r="L47" s="57"/>
      <c r="M47" s="57"/>
      <c r="N47" s="57"/>
      <c r="O47" s="57"/>
      <c r="P47" s="57"/>
      <c r="Q47" s="57"/>
      <c r="R47" s="57"/>
      <c r="S47" s="57"/>
      <c r="T47" s="57"/>
      <c r="U47" s="57"/>
      <c r="V47" s="57"/>
      <c r="W47" s="57"/>
      <c r="X47" s="57"/>
    </row>
    <row r="48" spans="1:24" x14ac:dyDescent="0.3">
      <c r="A48" s="57"/>
      <c r="B48" s="57"/>
      <c r="C48" s="57"/>
      <c r="D48" s="57"/>
      <c r="E48" s="57"/>
      <c r="F48" s="57"/>
      <c r="G48" s="57"/>
      <c r="H48" s="57"/>
      <c r="I48" s="57"/>
      <c r="J48" s="57"/>
      <c r="K48" s="57"/>
      <c r="L48" s="57"/>
      <c r="M48" s="57"/>
      <c r="N48" s="57"/>
      <c r="O48" s="57"/>
      <c r="P48" s="57"/>
      <c r="Q48" s="57"/>
      <c r="R48" s="57"/>
      <c r="S48" s="57"/>
      <c r="T48" s="57"/>
      <c r="U48" s="57"/>
      <c r="V48" s="57"/>
      <c r="W48" s="57"/>
      <c r="X48" s="57"/>
    </row>
    <row r="49" spans="1:24" x14ac:dyDescent="0.3">
      <c r="A49" s="57"/>
      <c r="B49" s="57"/>
      <c r="C49" s="57"/>
      <c r="D49" s="57"/>
      <c r="E49" s="57"/>
      <c r="F49" s="57"/>
      <c r="G49" s="57"/>
      <c r="H49" s="57"/>
      <c r="I49" s="57"/>
      <c r="J49" s="57"/>
      <c r="K49" s="57"/>
      <c r="L49" s="57"/>
      <c r="M49" s="57"/>
      <c r="N49" s="57"/>
      <c r="O49" s="57"/>
      <c r="P49" s="57"/>
      <c r="Q49" s="57"/>
      <c r="R49" s="57"/>
      <c r="S49" s="57"/>
      <c r="T49" s="57"/>
      <c r="U49" s="57"/>
      <c r="V49" s="57"/>
      <c r="W49" s="57"/>
      <c r="X49" s="57"/>
    </row>
    <row r="50" spans="1:24" x14ac:dyDescent="0.3">
      <c r="A50" s="57"/>
      <c r="B50" s="57"/>
      <c r="C50" s="57"/>
      <c r="D50" s="57"/>
      <c r="E50" s="57"/>
      <c r="F50" s="57"/>
      <c r="G50" s="57"/>
      <c r="H50" s="57"/>
      <c r="I50" s="57"/>
      <c r="J50" s="57"/>
      <c r="K50" s="57"/>
      <c r="L50" s="57"/>
      <c r="M50" s="57"/>
      <c r="N50" s="57"/>
      <c r="O50" s="57"/>
      <c r="P50" s="57"/>
      <c r="Q50" s="57"/>
      <c r="R50" s="57"/>
      <c r="S50" s="57"/>
      <c r="T50" s="57"/>
      <c r="U50" s="57"/>
      <c r="V50" s="57"/>
      <c r="W50" s="57"/>
      <c r="X50" s="57"/>
    </row>
    <row r="51" spans="1:24" x14ac:dyDescent="0.3">
      <c r="A51" s="57"/>
      <c r="B51" s="57"/>
      <c r="C51" s="57"/>
      <c r="D51" s="57"/>
      <c r="E51" s="57"/>
      <c r="F51" s="57"/>
      <c r="G51" s="57"/>
      <c r="H51" s="57"/>
      <c r="I51" s="57"/>
      <c r="J51" s="57"/>
      <c r="K51" s="57"/>
      <c r="L51" s="57"/>
      <c r="M51" s="57"/>
      <c r="N51" s="57"/>
      <c r="O51" s="57"/>
      <c r="P51" s="57"/>
      <c r="Q51" s="57"/>
      <c r="R51" s="57"/>
      <c r="S51" s="57"/>
      <c r="T51" s="57"/>
      <c r="U51" s="57"/>
      <c r="V51" s="57"/>
      <c r="W51" s="57"/>
      <c r="X51" s="57"/>
    </row>
    <row r="52" spans="1:24" x14ac:dyDescent="0.3">
      <c r="A52" s="57"/>
      <c r="B52" s="57"/>
      <c r="C52" s="57"/>
      <c r="D52" s="57"/>
      <c r="E52" s="57"/>
      <c r="F52" s="57"/>
      <c r="G52" s="57"/>
      <c r="H52" s="57"/>
      <c r="I52" s="57"/>
      <c r="J52" s="57"/>
      <c r="K52" s="57"/>
      <c r="L52" s="57"/>
      <c r="M52" s="57"/>
      <c r="N52" s="57"/>
      <c r="O52" s="57"/>
      <c r="P52" s="57"/>
      <c r="Q52" s="57"/>
      <c r="R52" s="57"/>
      <c r="S52" s="57"/>
      <c r="T52" s="57"/>
      <c r="U52" s="57"/>
      <c r="V52" s="57"/>
      <c r="W52" s="57"/>
      <c r="X52" s="57"/>
    </row>
    <row r="53" spans="1:24" x14ac:dyDescent="0.3">
      <c r="A53" s="57"/>
      <c r="B53" s="57"/>
      <c r="C53" s="57"/>
      <c r="D53" s="57"/>
      <c r="E53" s="57"/>
      <c r="F53" s="57"/>
      <c r="G53" s="57"/>
      <c r="H53" s="57"/>
      <c r="I53" s="57"/>
      <c r="J53" s="57"/>
      <c r="K53" s="57"/>
      <c r="L53" s="57"/>
      <c r="M53" s="57"/>
      <c r="N53" s="57"/>
      <c r="O53" s="57"/>
      <c r="P53" s="57"/>
      <c r="Q53" s="57"/>
      <c r="R53" s="57"/>
      <c r="S53" s="57"/>
      <c r="T53" s="57"/>
      <c r="U53" s="57"/>
      <c r="V53" s="57"/>
      <c r="W53" s="57"/>
      <c r="X53" s="57"/>
    </row>
    <row r="54" spans="1:24" x14ac:dyDescent="0.3">
      <c r="A54" s="57"/>
      <c r="B54" s="57"/>
      <c r="C54" s="57"/>
      <c r="D54" s="57"/>
      <c r="E54" s="57"/>
      <c r="F54" s="57"/>
      <c r="G54" s="57"/>
      <c r="H54" s="57"/>
      <c r="I54" s="57"/>
      <c r="J54" s="57"/>
      <c r="K54" s="57"/>
      <c r="L54" s="57"/>
      <c r="M54" s="57"/>
      <c r="N54" s="57"/>
      <c r="O54" s="57"/>
      <c r="P54" s="57"/>
      <c r="Q54" s="57"/>
      <c r="R54" s="57"/>
      <c r="S54" s="57"/>
      <c r="T54" s="57"/>
      <c r="U54" s="57"/>
      <c r="V54" s="57"/>
      <c r="W54" s="57"/>
      <c r="X54" s="57"/>
    </row>
    <row r="55" spans="1:24" x14ac:dyDescent="0.3">
      <c r="A55" s="57"/>
      <c r="B55" s="57"/>
      <c r="C55" s="57"/>
      <c r="D55" s="57"/>
      <c r="E55" s="57"/>
      <c r="F55" s="57"/>
      <c r="G55" s="57"/>
      <c r="H55" s="57"/>
      <c r="I55" s="57"/>
      <c r="J55" s="57"/>
      <c r="K55" s="57"/>
      <c r="L55" s="57"/>
      <c r="M55" s="57"/>
      <c r="N55" s="57"/>
      <c r="O55" s="57"/>
      <c r="P55" s="57"/>
      <c r="Q55" s="57"/>
      <c r="R55" s="57"/>
      <c r="S55" s="57"/>
      <c r="T55" s="57"/>
      <c r="U55" s="57"/>
      <c r="V55" s="57"/>
      <c r="W55" s="57"/>
      <c r="X55" s="57"/>
    </row>
    <row r="56" spans="1:24" x14ac:dyDescent="0.3">
      <c r="A56" s="57"/>
      <c r="B56" s="57"/>
      <c r="C56" s="57"/>
      <c r="D56" s="57"/>
      <c r="E56" s="57"/>
      <c r="F56" s="57"/>
      <c r="G56" s="57"/>
      <c r="H56" s="57"/>
      <c r="I56" s="57"/>
      <c r="J56" s="57"/>
      <c r="K56" s="57"/>
      <c r="L56" s="57"/>
      <c r="M56" s="57"/>
      <c r="N56" s="57"/>
      <c r="O56" s="57"/>
      <c r="P56" s="57"/>
      <c r="Q56" s="57"/>
      <c r="R56" s="57"/>
      <c r="S56" s="57"/>
      <c r="T56" s="57"/>
      <c r="U56" s="57"/>
      <c r="V56" s="57"/>
      <c r="W56" s="57"/>
      <c r="X56" s="57"/>
    </row>
    <row r="57" spans="1:24" x14ac:dyDescent="0.3">
      <c r="A57" s="57"/>
      <c r="B57" s="57"/>
      <c r="C57" s="57"/>
      <c r="D57" s="57"/>
      <c r="E57" s="57"/>
      <c r="F57" s="57"/>
      <c r="G57" s="57"/>
      <c r="H57" s="57"/>
      <c r="I57" s="57"/>
      <c r="J57" s="57"/>
      <c r="K57" s="57"/>
      <c r="L57" s="57"/>
      <c r="M57" s="57"/>
      <c r="N57" s="57"/>
      <c r="O57" s="57"/>
      <c r="P57" s="57"/>
      <c r="Q57" s="57"/>
      <c r="R57" s="57"/>
      <c r="S57" s="57"/>
      <c r="T57" s="57"/>
      <c r="U57" s="57"/>
      <c r="V57" s="57"/>
      <c r="W57" s="57"/>
      <c r="X57" s="57"/>
    </row>
    <row r="58" spans="1:24" x14ac:dyDescent="0.3">
      <c r="A58" s="57"/>
      <c r="B58" s="57"/>
      <c r="C58" s="57"/>
      <c r="D58" s="57"/>
      <c r="E58" s="57"/>
      <c r="F58" s="57"/>
      <c r="G58" s="57"/>
      <c r="H58" s="57"/>
      <c r="I58" s="57"/>
      <c r="J58" s="57"/>
      <c r="K58" s="57"/>
      <c r="L58" s="57"/>
      <c r="M58" s="57"/>
      <c r="N58" s="57"/>
      <c r="O58" s="57"/>
      <c r="P58" s="57"/>
      <c r="Q58" s="57"/>
      <c r="R58" s="57"/>
      <c r="S58" s="57"/>
      <c r="T58" s="57"/>
      <c r="U58" s="57"/>
      <c r="V58" s="57"/>
      <c r="W58" s="57"/>
      <c r="X58" s="57"/>
    </row>
    <row r="59" spans="1:24" x14ac:dyDescent="0.3">
      <c r="A59" s="57"/>
      <c r="B59" s="57"/>
      <c r="C59" s="57"/>
      <c r="D59" s="57"/>
      <c r="E59" s="57"/>
      <c r="F59" s="57"/>
      <c r="G59" s="57"/>
      <c r="H59" s="57"/>
      <c r="I59" s="57"/>
      <c r="J59" s="57"/>
      <c r="K59" s="57"/>
      <c r="L59" s="57"/>
      <c r="M59" s="57"/>
      <c r="N59" s="57"/>
      <c r="O59" s="57"/>
      <c r="P59" s="57"/>
      <c r="Q59" s="57"/>
      <c r="R59" s="57"/>
      <c r="S59" s="57"/>
      <c r="T59" s="57"/>
      <c r="U59" s="57"/>
      <c r="V59" s="57"/>
      <c r="W59" s="57"/>
      <c r="X59" s="57"/>
    </row>
    <row r="60" spans="1:24" x14ac:dyDescent="0.3">
      <c r="A60" s="57"/>
      <c r="B60" s="57"/>
      <c r="C60" s="57"/>
      <c r="D60" s="57"/>
      <c r="E60" s="57"/>
      <c r="F60" s="57"/>
      <c r="G60" s="57"/>
      <c r="H60" s="57"/>
      <c r="I60" s="57"/>
      <c r="J60" s="57"/>
      <c r="K60" s="57"/>
      <c r="L60" s="57"/>
      <c r="M60" s="57"/>
      <c r="N60" s="57"/>
      <c r="O60" s="57"/>
      <c r="P60" s="57"/>
      <c r="Q60" s="57"/>
      <c r="R60" s="57"/>
      <c r="S60" s="57"/>
      <c r="T60" s="57"/>
      <c r="U60" s="57"/>
      <c r="V60" s="57"/>
      <c r="W60" s="57"/>
      <c r="X60" s="57"/>
    </row>
    <row r="61" spans="1:24" x14ac:dyDescent="0.3">
      <c r="A61" s="57"/>
      <c r="B61" s="57"/>
      <c r="C61" s="57"/>
      <c r="D61" s="57"/>
      <c r="E61" s="57"/>
      <c r="F61" s="57"/>
      <c r="G61" s="57"/>
      <c r="H61" s="57"/>
      <c r="I61" s="57"/>
      <c r="J61" s="57"/>
      <c r="K61" s="57"/>
      <c r="L61" s="57"/>
      <c r="M61" s="57"/>
      <c r="N61" s="57"/>
      <c r="O61" s="57"/>
      <c r="P61" s="57"/>
      <c r="Q61" s="57"/>
      <c r="R61" s="57"/>
      <c r="S61" s="57"/>
      <c r="T61" s="57"/>
      <c r="U61" s="57"/>
      <c r="V61" s="57"/>
      <c r="W61" s="57"/>
      <c r="X61" s="57"/>
    </row>
    <row r="62" spans="1:24" x14ac:dyDescent="0.3">
      <c r="A62" s="57"/>
      <c r="B62" s="57"/>
      <c r="C62" s="57"/>
      <c r="D62" s="57"/>
      <c r="E62" s="57"/>
      <c r="F62" s="57"/>
      <c r="G62" s="57"/>
      <c r="H62" s="57"/>
      <c r="I62" s="57"/>
      <c r="J62" s="57"/>
      <c r="K62" s="57"/>
      <c r="L62" s="57"/>
      <c r="M62" s="57"/>
      <c r="N62" s="57"/>
      <c r="O62" s="57"/>
      <c r="P62" s="57"/>
      <c r="Q62" s="57"/>
      <c r="R62" s="57"/>
      <c r="S62" s="57"/>
      <c r="T62" s="57"/>
      <c r="U62" s="57"/>
      <c r="V62" s="57"/>
      <c r="W62" s="57"/>
      <c r="X62" s="57"/>
    </row>
    <row r="63" spans="1:24" x14ac:dyDescent="0.3">
      <c r="A63" s="57"/>
      <c r="B63" s="57"/>
      <c r="C63" s="57"/>
      <c r="D63" s="57"/>
      <c r="E63" s="57"/>
      <c r="F63" s="57"/>
      <c r="G63" s="57"/>
      <c r="H63" s="57"/>
      <c r="I63" s="57"/>
      <c r="J63" s="57"/>
      <c r="K63" s="57"/>
      <c r="L63" s="57"/>
      <c r="M63" s="57"/>
      <c r="N63" s="57"/>
      <c r="O63" s="57"/>
      <c r="P63" s="57"/>
      <c r="Q63" s="57"/>
      <c r="R63" s="57"/>
      <c r="S63" s="57"/>
      <c r="T63" s="57"/>
      <c r="U63" s="57"/>
      <c r="V63" s="57"/>
      <c r="W63" s="57"/>
      <c r="X63" s="57"/>
    </row>
    <row r="64" spans="1:24" x14ac:dyDescent="0.3">
      <c r="A64" s="57"/>
      <c r="B64" s="57"/>
      <c r="C64" s="57"/>
      <c r="D64" s="57"/>
      <c r="E64" s="57"/>
      <c r="F64" s="57"/>
      <c r="G64" s="57"/>
      <c r="H64" s="57"/>
      <c r="I64" s="57"/>
      <c r="J64" s="57"/>
      <c r="K64" s="57"/>
      <c r="L64" s="57"/>
      <c r="M64" s="57"/>
      <c r="N64" s="57"/>
      <c r="O64" s="57"/>
      <c r="P64" s="57"/>
      <c r="Q64" s="57"/>
      <c r="R64" s="57"/>
      <c r="S64" s="57"/>
      <c r="T64" s="57"/>
      <c r="U64" s="57"/>
      <c r="V64" s="57"/>
      <c r="W64" s="57"/>
      <c r="X64" s="57"/>
    </row>
    <row r="65" spans="1:24" x14ac:dyDescent="0.3">
      <c r="A65" s="57"/>
      <c r="B65" s="57"/>
      <c r="C65" s="57"/>
      <c r="D65" s="57"/>
      <c r="E65" s="57"/>
      <c r="F65" s="57"/>
      <c r="G65" s="57"/>
      <c r="H65" s="57"/>
      <c r="I65" s="57"/>
      <c r="J65" s="57"/>
      <c r="K65" s="57"/>
      <c r="L65" s="57"/>
      <c r="M65" s="57"/>
      <c r="N65" s="57"/>
      <c r="O65" s="57"/>
      <c r="P65" s="57"/>
      <c r="Q65" s="57"/>
      <c r="R65" s="57"/>
      <c r="S65" s="57"/>
      <c r="T65" s="57"/>
      <c r="U65" s="57"/>
      <c r="V65" s="57"/>
      <c r="W65" s="57"/>
      <c r="X65" s="57"/>
    </row>
    <row r="66" spans="1:24" x14ac:dyDescent="0.3">
      <c r="A66" s="57"/>
      <c r="B66" s="57"/>
      <c r="C66" s="57"/>
      <c r="D66" s="57"/>
      <c r="E66" s="57"/>
      <c r="F66" s="57"/>
      <c r="G66" s="57"/>
      <c r="H66" s="57"/>
      <c r="I66" s="57"/>
      <c r="J66" s="57"/>
      <c r="K66" s="57"/>
      <c r="L66" s="57"/>
      <c r="M66" s="57"/>
      <c r="N66" s="57"/>
      <c r="O66" s="57"/>
      <c r="P66" s="57"/>
      <c r="Q66" s="57"/>
      <c r="R66" s="57"/>
      <c r="S66" s="57"/>
      <c r="T66" s="57"/>
      <c r="U66" s="57"/>
      <c r="V66" s="57"/>
      <c r="W66" s="57"/>
      <c r="X66" s="57"/>
    </row>
    <row r="67" spans="1:24" x14ac:dyDescent="0.3">
      <c r="A67" s="57"/>
      <c r="B67" s="57"/>
      <c r="C67" s="57"/>
      <c r="D67" s="57"/>
      <c r="E67" s="57"/>
      <c r="F67" s="57"/>
      <c r="G67" s="57"/>
      <c r="H67" s="57"/>
      <c r="I67" s="57"/>
      <c r="J67" s="57"/>
      <c r="K67" s="57"/>
      <c r="L67" s="57"/>
      <c r="M67" s="57"/>
      <c r="N67" s="57"/>
      <c r="O67" s="57"/>
      <c r="P67" s="57"/>
      <c r="Q67" s="57"/>
      <c r="R67" s="57"/>
      <c r="S67" s="57"/>
      <c r="T67" s="57"/>
      <c r="U67" s="57"/>
      <c r="V67" s="57"/>
      <c r="W67" s="57"/>
      <c r="X67" s="57"/>
    </row>
    <row r="68" spans="1:24" x14ac:dyDescent="0.3">
      <c r="A68" s="57"/>
      <c r="B68" s="57"/>
      <c r="C68" s="57"/>
      <c r="D68" s="57"/>
      <c r="E68" s="57"/>
      <c r="F68" s="57"/>
      <c r="G68" s="57"/>
      <c r="H68" s="57"/>
      <c r="I68" s="57"/>
      <c r="J68" s="57"/>
      <c r="K68" s="57"/>
      <c r="L68" s="57"/>
      <c r="M68" s="57"/>
      <c r="N68" s="57"/>
      <c r="O68" s="57"/>
      <c r="P68" s="57"/>
      <c r="Q68" s="57"/>
      <c r="R68" s="57"/>
      <c r="S68" s="57"/>
      <c r="T68" s="57"/>
      <c r="U68" s="57"/>
      <c r="V68" s="57"/>
      <c r="W68" s="57"/>
      <c r="X68" s="57"/>
    </row>
    <row r="69" spans="1:24" x14ac:dyDescent="0.3">
      <c r="A69" s="57"/>
      <c r="B69" s="57"/>
      <c r="C69" s="57"/>
      <c r="D69" s="57"/>
      <c r="E69" s="57"/>
      <c r="F69" s="57"/>
      <c r="G69" s="57"/>
      <c r="H69" s="57"/>
      <c r="I69" s="57"/>
      <c r="J69" s="57"/>
      <c r="K69" s="57"/>
      <c r="L69" s="57"/>
      <c r="M69" s="57"/>
      <c r="N69" s="57"/>
      <c r="O69" s="57"/>
      <c r="P69" s="57"/>
      <c r="Q69" s="57"/>
      <c r="R69" s="57"/>
      <c r="S69" s="57"/>
      <c r="T69" s="57"/>
      <c r="U69" s="57"/>
      <c r="V69" s="57"/>
      <c r="W69" s="57"/>
      <c r="X69" s="57"/>
    </row>
    <row r="70" spans="1:24" x14ac:dyDescent="0.3">
      <c r="A70" s="57"/>
      <c r="B70" s="57"/>
      <c r="C70" s="57"/>
      <c r="D70" s="57"/>
      <c r="E70" s="57"/>
      <c r="F70" s="57"/>
      <c r="G70" s="57"/>
      <c r="H70" s="57"/>
      <c r="I70" s="57"/>
      <c r="J70" s="57"/>
      <c r="K70" s="57"/>
      <c r="L70" s="57"/>
      <c r="M70" s="57"/>
      <c r="N70" s="57"/>
      <c r="O70" s="57"/>
      <c r="P70" s="57"/>
      <c r="Q70" s="57"/>
      <c r="R70" s="57"/>
      <c r="S70" s="57"/>
      <c r="T70" s="57"/>
      <c r="U70" s="57"/>
      <c r="V70" s="57"/>
      <c r="W70" s="57"/>
      <c r="X70" s="57"/>
    </row>
    <row r="71" spans="1:24" x14ac:dyDescent="0.3">
      <c r="A71" s="57"/>
      <c r="B71" s="57"/>
      <c r="C71" s="57"/>
      <c r="D71" s="57"/>
      <c r="E71" s="57"/>
      <c r="F71" s="57"/>
      <c r="G71" s="57"/>
      <c r="H71" s="57"/>
      <c r="I71" s="57"/>
      <c r="J71" s="57"/>
      <c r="K71" s="57"/>
      <c r="L71" s="57"/>
      <c r="M71" s="57"/>
      <c r="N71" s="57"/>
      <c r="O71" s="57"/>
      <c r="P71" s="57"/>
      <c r="Q71" s="57"/>
      <c r="R71" s="57"/>
      <c r="S71" s="57"/>
      <c r="T71" s="57"/>
      <c r="U71" s="57"/>
      <c r="V71" s="57"/>
      <c r="W71" s="57"/>
      <c r="X71" s="57"/>
    </row>
    <row r="72" spans="1:24" x14ac:dyDescent="0.3">
      <c r="A72" s="57"/>
      <c r="B72" s="57"/>
      <c r="C72" s="57"/>
      <c r="D72" s="57"/>
      <c r="E72" s="57"/>
      <c r="F72" s="57"/>
      <c r="G72" s="57"/>
      <c r="H72" s="57"/>
      <c r="I72" s="57"/>
      <c r="J72" s="57"/>
      <c r="K72" s="57"/>
      <c r="L72" s="57"/>
      <c r="M72" s="57"/>
      <c r="N72" s="57"/>
      <c r="O72" s="57"/>
      <c r="P72" s="57"/>
      <c r="Q72" s="57"/>
      <c r="R72" s="57"/>
      <c r="S72" s="57"/>
      <c r="T72" s="57"/>
      <c r="U72" s="57"/>
      <c r="V72" s="57"/>
      <c r="W72" s="57"/>
      <c r="X72" s="57"/>
    </row>
    <row r="73" spans="1:24" x14ac:dyDescent="0.3">
      <c r="A73" s="57"/>
      <c r="B73" s="57"/>
      <c r="C73" s="57"/>
      <c r="D73" s="57"/>
      <c r="E73" s="57"/>
      <c r="F73" s="57"/>
      <c r="G73" s="57"/>
      <c r="H73" s="57"/>
      <c r="I73" s="57"/>
      <c r="J73" s="57"/>
      <c r="K73" s="57"/>
      <c r="L73" s="57"/>
      <c r="M73" s="57"/>
      <c r="N73" s="57"/>
      <c r="O73" s="57"/>
      <c r="P73" s="57"/>
      <c r="Q73" s="57"/>
      <c r="R73" s="57"/>
      <c r="S73" s="57"/>
      <c r="T73" s="57"/>
      <c r="U73" s="57"/>
      <c r="V73" s="57"/>
      <c r="W73" s="57"/>
      <c r="X73" s="57"/>
    </row>
    <row r="74" spans="1:24" x14ac:dyDescent="0.3">
      <c r="A74" s="57"/>
      <c r="B74" s="57"/>
      <c r="C74" s="57"/>
      <c r="D74" s="57"/>
      <c r="E74" s="57"/>
      <c r="F74" s="57"/>
      <c r="G74" s="57"/>
      <c r="H74" s="57"/>
      <c r="I74" s="57"/>
      <c r="J74" s="57"/>
      <c r="K74" s="57"/>
      <c r="L74" s="57"/>
      <c r="M74" s="57"/>
      <c r="N74" s="57"/>
      <c r="O74" s="57"/>
      <c r="P74" s="57"/>
      <c r="Q74" s="57"/>
      <c r="R74" s="57"/>
      <c r="S74" s="57"/>
      <c r="T74" s="57"/>
      <c r="U74" s="57"/>
      <c r="V74" s="57"/>
      <c r="W74" s="57"/>
      <c r="X74" s="57"/>
    </row>
    <row r="75" spans="1:24" x14ac:dyDescent="0.3">
      <c r="A75" s="57"/>
      <c r="B75" s="57"/>
      <c r="C75" s="57"/>
      <c r="D75" s="57"/>
      <c r="E75" s="57"/>
      <c r="F75" s="57"/>
      <c r="G75" s="57"/>
      <c r="H75" s="57"/>
      <c r="I75" s="57"/>
      <c r="J75" s="57"/>
      <c r="K75" s="57"/>
      <c r="L75" s="57"/>
      <c r="M75" s="57"/>
      <c r="N75" s="57"/>
      <c r="O75" s="57"/>
      <c r="P75" s="57"/>
      <c r="Q75" s="57"/>
      <c r="R75" s="57"/>
      <c r="S75" s="57"/>
      <c r="T75" s="57"/>
      <c r="U75" s="57"/>
      <c r="V75" s="57"/>
      <c r="W75" s="57"/>
      <c r="X75" s="57"/>
    </row>
    <row r="76" spans="1:24" x14ac:dyDescent="0.3">
      <c r="A76" s="57"/>
      <c r="B76" s="57"/>
      <c r="C76" s="57"/>
      <c r="D76" s="57"/>
      <c r="E76" s="57"/>
      <c r="F76" s="57"/>
      <c r="G76" s="57"/>
      <c r="H76" s="57"/>
      <c r="I76" s="57"/>
      <c r="J76" s="57"/>
      <c r="K76" s="57"/>
      <c r="L76" s="57"/>
      <c r="M76" s="57"/>
      <c r="N76" s="57"/>
      <c r="O76" s="57"/>
      <c r="P76" s="57"/>
      <c r="Q76" s="57"/>
      <c r="R76" s="57"/>
      <c r="S76" s="57"/>
      <c r="T76" s="57"/>
      <c r="U76" s="57"/>
      <c r="V76" s="57"/>
      <c r="W76" s="57"/>
      <c r="X76" s="57"/>
    </row>
    <row r="77" spans="1:24" x14ac:dyDescent="0.3">
      <c r="A77" s="57"/>
      <c r="B77" s="57"/>
      <c r="C77" s="57"/>
      <c r="D77" s="57"/>
      <c r="E77" s="57"/>
      <c r="F77" s="57"/>
      <c r="G77" s="57"/>
      <c r="H77" s="57"/>
      <c r="I77" s="57"/>
      <c r="J77" s="57"/>
      <c r="K77" s="57"/>
      <c r="L77" s="57"/>
      <c r="M77" s="57"/>
      <c r="N77" s="57"/>
      <c r="O77" s="57"/>
      <c r="P77" s="57"/>
      <c r="Q77" s="57"/>
      <c r="R77" s="57"/>
      <c r="S77" s="57"/>
      <c r="T77" s="57"/>
      <c r="U77" s="57"/>
      <c r="V77" s="57"/>
      <c r="W77" s="57"/>
      <c r="X77" s="57"/>
    </row>
    <row r="78" spans="1:24" x14ac:dyDescent="0.3">
      <c r="A78" s="57"/>
      <c r="B78" s="57"/>
      <c r="C78" s="57"/>
      <c r="D78" s="57"/>
      <c r="E78" s="57"/>
      <c r="F78" s="57"/>
      <c r="G78" s="57"/>
      <c r="H78" s="57"/>
      <c r="I78" s="57"/>
      <c r="J78" s="57"/>
      <c r="K78" s="57"/>
      <c r="L78" s="57"/>
      <c r="M78" s="57"/>
      <c r="N78" s="57"/>
      <c r="O78" s="57"/>
      <c r="P78" s="57"/>
      <c r="Q78" s="57"/>
      <c r="R78" s="57"/>
      <c r="S78" s="57"/>
      <c r="T78" s="57"/>
      <c r="U78" s="57"/>
      <c r="V78" s="57"/>
      <c r="W78" s="57"/>
      <c r="X78" s="57"/>
    </row>
    <row r="79" spans="1:24" x14ac:dyDescent="0.3">
      <c r="A79" s="57"/>
      <c r="B79" s="57"/>
      <c r="C79" s="57"/>
      <c r="D79" s="57"/>
      <c r="E79" s="57"/>
      <c r="F79" s="57"/>
      <c r="G79" s="57"/>
      <c r="H79" s="57"/>
      <c r="I79" s="57"/>
      <c r="J79" s="57"/>
      <c r="K79" s="57"/>
      <c r="L79" s="57"/>
      <c r="M79" s="57"/>
      <c r="N79" s="57"/>
      <c r="O79" s="57"/>
      <c r="P79" s="57"/>
      <c r="Q79" s="57"/>
      <c r="R79" s="57"/>
      <c r="S79" s="57"/>
      <c r="T79" s="57"/>
      <c r="U79" s="57"/>
      <c r="V79" s="57"/>
      <c r="W79" s="57"/>
      <c r="X79" s="57"/>
    </row>
    <row r="80" spans="1:24" x14ac:dyDescent="0.3">
      <c r="A80" s="57"/>
      <c r="B80" s="57"/>
      <c r="C80" s="57"/>
      <c r="D80" s="57"/>
      <c r="E80" s="57"/>
      <c r="F80" s="57"/>
      <c r="G80" s="57"/>
      <c r="H80" s="57"/>
      <c r="I80" s="57"/>
      <c r="J80" s="57"/>
      <c r="K80" s="57"/>
      <c r="L80" s="57"/>
      <c r="M80" s="57"/>
      <c r="N80" s="57"/>
      <c r="O80" s="57"/>
      <c r="P80" s="57"/>
      <c r="Q80" s="57"/>
      <c r="R80" s="57"/>
      <c r="S80" s="57"/>
      <c r="T80" s="57"/>
      <c r="U80" s="57"/>
      <c r="V80" s="57"/>
      <c r="W80" s="57"/>
      <c r="X80" s="57"/>
    </row>
    <row r="81" spans="1:24" x14ac:dyDescent="0.3">
      <c r="A81" s="57"/>
      <c r="B81" s="57"/>
      <c r="C81" s="57"/>
      <c r="D81" s="57"/>
      <c r="E81" s="57"/>
      <c r="F81" s="57"/>
      <c r="G81" s="57"/>
      <c r="H81" s="57"/>
      <c r="I81" s="57"/>
      <c r="J81" s="57"/>
      <c r="K81" s="57"/>
      <c r="L81" s="57"/>
      <c r="M81" s="57"/>
      <c r="N81" s="57"/>
      <c r="O81" s="57"/>
      <c r="P81" s="57"/>
      <c r="Q81" s="57"/>
      <c r="R81" s="57"/>
      <c r="S81" s="57"/>
      <c r="T81" s="57"/>
      <c r="U81" s="57"/>
      <c r="V81" s="57"/>
      <c r="W81" s="57"/>
      <c r="X81" s="57"/>
    </row>
    <row r="82" spans="1:24" x14ac:dyDescent="0.3">
      <c r="A82" s="57"/>
      <c r="B82" s="57"/>
      <c r="C82" s="57"/>
      <c r="D82" s="57"/>
      <c r="E82" s="57"/>
      <c r="F82" s="57"/>
      <c r="G82" s="57"/>
      <c r="H82" s="57"/>
      <c r="I82" s="57"/>
      <c r="J82" s="57"/>
      <c r="K82" s="57"/>
      <c r="L82" s="57"/>
      <c r="M82" s="57"/>
      <c r="N82" s="57"/>
      <c r="O82" s="57"/>
      <c r="P82" s="57"/>
      <c r="Q82" s="57"/>
      <c r="R82" s="57"/>
      <c r="S82" s="57"/>
      <c r="T82" s="57"/>
      <c r="U82" s="57"/>
      <c r="V82" s="57"/>
      <c r="W82" s="57"/>
      <c r="X82" s="57"/>
    </row>
    <row r="83" spans="1:24" x14ac:dyDescent="0.3">
      <c r="A83" s="57"/>
      <c r="B83" s="57"/>
      <c r="C83" s="57"/>
      <c r="D83" s="57"/>
      <c r="E83" s="57"/>
      <c r="F83" s="57"/>
      <c r="G83" s="57"/>
      <c r="H83" s="57"/>
      <c r="I83" s="57"/>
      <c r="J83" s="57"/>
      <c r="K83" s="57"/>
      <c r="L83" s="57"/>
      <c r="M83" s="57"/>
      <c r="N83" s="57"/>
      <c r="O83" s="57"/>
      <c r="P83" s="57"/>
      <c r="Q83" s="57"/>
      <c r="R83" s="57"/>
      <c r="S83" s="57"/>
      <c r="T83" s="57"/>
      <c r="U83" s="57"/>
      <c r="V83" s="57"/>
      <c r="W83" s="57"/>
      <c r="X83" s="57"/>
    </row>
    <row r="84" spans="1:24" x14ac:dyDescent="0.3">
      <c r="A84" s="57"/>
      <c r="B84" s="57"/>
      <c r="C84" s="57"/>
      <c r="D84" s="57"/>
      <c r="E84" s="57"/>
      <c r="F84" s="57"/>
      <c r="G84" s="57"/>
      <c r="H84" s="57"/>
      <c r="I84" s="57"/>
      <c r="J84" s="57"/>
      <c r="K84" s="57"/>
      <c r="L84" s="57"/>
      <c r="M84" s="57"/>
      <c r="N84" s="57"/>
      <c r="O84" s="57"/>
      <c r="P84" s="57"/>
      <c r="Q84" s="57"/>
      <c r="R84" s="57"/>
      <c r="S84" s="57"/>
      <c r="T84" s="57"/>
      <c r="U84" s="57"/>
      <c r="V84" s="57"/>
      <c r="W84" s="57"/>
      <c r="X84" s="57"/>
    </row>
    <row r="85" spans="1:24" x14ac:dyDescent="0.3">
      <c r="A85" s="57"/>
      <c r="B85" s="57"/>
      <c r="C85" s="57"/>
      <c r="D85" s="57"/>
      <c r="E85" s="57"/>
      <c r="F85" s="57"/>
      <c r="G85" s="57"/>
      <c r="H85" s="57"/>
      <c r="I85" s="57"/>
      <c r="J85" s="57"/>
      <c r="K85" s="57"/>
      <c r="L85" s="57"/>
      <c r="M85" s="57"/>
      <c r="N85" s="57"/>
      <c r="O85" s="57"/>
      <c r="P85" s="57"/>
      <c r="Q85" s="57"/>
      <c r="R85" s="57"/>
      <c r="S85" s="57"/>
      <c r="T85" s="57"/>
      <c r="U85" s="57"/>
      <c r="V85" s="57"/>
      <c r="W85" s="57"/>
      <c r="X85" s="57"/>
    </row>
    <row r="86" spans="1:24" x14ac:dyDescent="0.3">
      <c r="A86" s="57"/>
      <c r="B86" s="57"/>
      <c r="C86" s="57"/>
      <c r="D86" s="57"/>
      <c r="E86" s="57"/>
      <c r="F86" s="57"/>
      <c r="G86" s="57"/>
      <c r="H86" s="57"/>
      <c r="I86" s="57"/>
      <c r="J86" s="57"/>
      <c r="K86" s="57"/>
      <c r="L86" s="57"/>
      <c r="M86" s="57"/>
      <c r="N86" s="57"/>
      <c r="O86" s="57"/>
      <c r="P86" s="57"/>
      <c r="Q86" s="57"/>
      <c r="R86" s="57"/>
      <c r="S86" s="57"/>
      <c r="T86" s="57"/>
      <c r="U86" s="57"/>
      <c r="V86" s="57"/>
      <c r="W86" s="57"/>
      <c r="X86" s="57"/>
    </row>
    <row r="87" spans="1:24" x14ac:dyDescent="0.3">
      <c r="A87" s="57"/>
      <c r="B87" s="57"/>
      <c r="C87" s="57"/>
      <c r="D87" s="57"/>
      <c r="E87" s="57"/>
      <c r="F87" s="57"/>
      <c r="G87" s="57"/>
      <c r="H87" s="57"/>
      <c r="I87" s="57"/>
      <c r="J87" s="57"/>
      <c r="K87" s="57"/>
      <c r="L87" s="57"/>
      <c r="M87" s="57"/>
      <c r="N87" s="57"/>
      <c r="O87" s="57"/>
      <c r="P87" s="57"/>
      <c r="Q87" s="57"/>
      <c r="R87" s="57"/>
      <c r="S87" s="57"/>
      <c r="T87" s="57"/>
      <c r="U87" s="57"/>
      <c r="V87" s="57"/>
      <c r="W87" s="57"/>
      <c r="X87" s="57"/>
    </row>
    <row r="88" spans="1:24" x14ac:dyDescent="0.3">
      <c r="A88" s="57"/>
      <c r="B88" s="57"/>
      <c r="C88" s="57"/>
      <c r="D88" s="57"/>
      <c r="E88" s="57"/>
      <c r="F88" s="57"/>
      <c r="G88" s="57"/>
      <c r="H88" s="57"/>
      <c r="I88" s="57"/>
      <c r="J88" s="57"/>
      <c r="K88" s="57"/>
      <c r="L88" s="57"/>
      <c r="M88" s="57"/>
      <c r="N88" s="57"/>
      <c r="O88" s="57"/>
      <c r="P88" s="57"/>
      <c r="Q88" s="57"/>
      <c r="R88" s="57"/>
      <c r="S88" s="57"/>
      <c r="T88" s="57"/>
      <c r="U88" s="57"/>
      <c r="V88" s="57"/>
      <c r="W88" s="57"/>
      <c r="X88" s="57"/>
    </row>
    <row r="89" spans="1:24" x14ac:dyDescent="0.3">
      <c r="A89" s="57"/>
      <c r="B89" s="57"/>
      <c r="C89" s="57"/>
      <c r="D89" s="57"/>
      <c r="E89" s="57"/>
      <c r="F89" s="57"/>
      <c r="G89" s="57"/>
      <c r="H89" s="57"/>
      <c r="I89" s="57"/>
      <c r="J89" s="57"/>
      <c r="K89" s="57"/>
      <c r="L89" s="57"/>
      <c r="M89" s="57"/>
      <c r="N89" s="57"/>
      <c r="O89" s="57"/>
      <c r="P89" s="57"/>
      <c r="Q89" s="57"/>
      <c r="R89" s="57"/>
      <c r="S89" s="57"/>
      <c r="T89" s="57"/>
      <c r="U89" s="57"/>
      <c r="V89" s="57"/>
      <c r="W89" s="57"/>
      <c r="X89" s="57"/>
    </row>
    <row r="90" spans="1:24" x14ac:dyDescent="0.3">
      <c r="A90" s="57"/>
      <c r="B90" s="57"/>
      <c r="C90" s="57"/>
      <c r="D90" s="57"/>
      <c r="E90" s="57"/>
      <c r="F90" s="57"/>
      <c r="G90" s="57"/>
      <c r="H90" s="57"/>
      <c r="I90" s="57"/>
      <c r="J90" s="57"/>
      <c r="K90" s="57"/>
      <c r="L90" s="57"/>
      <c r="M90" s="57"/>
      <c r="N90" s="57"/>
      <c r="O90" s="57"/>
      <c r="P90" s="57"/>
      <c r="Q90" s="57"/>
      <c r="R90" s="57"/>
      <c r="S90" s="57"/>
      <c r="T90" s="57"/>
      <c r="U90" s="57"/>
      <c r="V90" s="57"/>
      <c r="W90" s="57"/>
      <c r="X90" s="57"/>
    </row>
    <row r="91" spans="1:24" x14ac:dyDescent="0.3">
      <c r="A91" s="57"/>
      <c r="B91" s="57"/>
      <c r="C91" s="57"/>
      <c r="D91" s="57"/>
      <c r="E91" s="57"/>
      <c r="F91" s="57"/>
      <c r="G91" s="57"/>
      <c r="H91" s="57"/>
      <c r="I91" s="57"/>
      <c r="J91" s="57"/>
      <c r="K91" s="57"/>
      <c r="L91" s="57"/>
      <c r="M91" s="57"/>
      <c r="N91" s="57"/>
      <c r="O91" s="57"/>
      <c r="P91" s="57"/>
      <c r="Q91" s="57"/>
      <c r="R91" s="57"/>
      <c r="S91" s="57"/>
      <c r="T91" s="57"/>
      <c r="U91" s="57"/>
      <c r="V91" s="57"/>
      <c r="W91" s="57"/>
      <c r="X91" s="57"/>
    </row>
    <row r="92" spans="1:24" x14ac:dyDescent="0.3">
      <c r="A92" s="57"/>
      <c r="B92" s="57"/>
      <c r="C92" s="57"/>
      <c r="D92" s="57"/>
      <c r="E92" s="57"/>
      <c r="F92" s="57"/>
      <c r="G92" s="57"/>
      <c r="H92" s="57"/>
      <c r="I92" s="57"/>
      <c r="J92" s="57"/>
      <c r="K92" s="57"/>
      <c r="L92" s="57"/>
      <c r="M92" s="57"/>
      <c r="N92" s="57"/>
      <c r="O92" s="57"/>
      <c r="P92" s="57"/>
      <c r="Q92" s="57"/>
      <c r="R92" s="57"/>
      <c r="S92" s="57"/>
      <c r="T92" s="57"/>
      <c r="U92" s="57"/>
      <c r="V92" s="57"/>
      <c r="W92" s="57"/>
      <c r="X92" s="57"/>
    </row>
    <row r="93" spans="1:24" x14ac:dyDescent="0.3">
      <c r="A93" s="57"/>
      <c r="B93" s="57"/>
      <c r="C93" s="57"/>
      <c r="D93" s="57"/>
      <c r="E93" s="57"/>
      <c r="F93" s="57"/>
      <c r="G93" s="57"/>
      <c r="H93" s="57"/>
      <c r="I93" s="57"/>
      <c r="J93" s="57"/>
      <c r="K93" s="57"/>
      <c r="L93" s="57"/>
      <c r="M93" s="57"/>
      <c r="N93" s="57"/>
      <c r="O93" s="57"/>
      <c r="P93" s="57"/>
      <c r="Q93" s="57"/>
      <c r="R93" s="57"/>
      <c r="S93" s="57"/>
      <c r="T93" s="57"/>
      <c r="U93" s="57"/>
      <c r="V93" s="57"/>
      <c r="W93" s="57"/>
      <c r="X93" s="57"/>
    </row>
    <row r="94" spans="1:24" x14ac:dyDescent="0.3">
      <c r="A94" s="57"/>
      <c r="B94" s="57"/>
      <c r="C94" s="57"/>
      <c r="D94" s="57"/>
      <c r="E94" s="57"/>
      <c r="F94" s="57"/>
      <c r="G94" s="57"/>
      <c r="H94" s="57"/>
      <c r="I94" s="57"/>
      <c r="J94" s="57"/>
      <c r="K94" s="57"/>
      <c r="L94" s="57"/>
      <c r="M94" s="57"/>
      <c r="N94" s="57"/>
      <c r="O94" s="57"/>
      <c r="P94" s="57"/>
      <c r="Q94" s="57"/>
      <c r="R94" s="57"/>
      <c r="S94" s="57"/>
      <c r="T94" s="57"/>
      <c r="U94" s="57"/>
      <c r="V94" s="57"/>
      <c r="W94" s="57"/>
      <c r="X94" s="57"/>
    </row>
    <row r="95" spans="1:24" x14ac:dyDescent="0.3">
      <c r="A95" s="57"/>
      <c r="B95" s="57"/>
      <c r="C95" s="57"/>
      <c r="D95" s="57"/>
      <c r="E95" s="57"/>
      <c r="F95" s="57"/>
      <c r="G95" s="57"/>
      <c r="H95" s="57"/>
      <c r="I95" s="57"/>
      <c r="J95" s="57"/>
      <c r="K95" s="57"/>
      <c r="L95" s="57"/>
      <c r="M95" s="57"/>
      <c r="N95" s="57"/>
      <c r="O95" s="57"/>
      <c r="P95" s="57"/>
      <c r="Q95" s="57"/>
      <c r="R95" s="57"/>
      <c r="S95" s="57"/>
      <c r="T95" s="57"/>
      <c r="U95" s="57"/>
      <c r="V95" s="57"/>
      <c r="W95" s="57"/>
      <c r="X95" s="57"/>
    </row>
    <row r="96" spans="1:24" x14ac:dyDescent="0.3">
      <c r="A96" s="57"/>
      <c r="B96" s="57"/>
      <c r="C96" s="57"/>
      <c r="D96" s="57"/>
      <c r="E96" s="57"/>
      <c r="F96" s="57"/>
      <c r="G96" s="57"/>
      <c r="H96" s="57"/>
      <c r="I96" s="57"/>
      <c r="J96" s="57"/>
      <c r="K96" s="57"/>
      <c r="L96" s="57"/>
      <c r="M96" s="57"/>
      <c r="N96" s="57"/>
      <c r="O96" s="57"/>
      <c r="P96" s="57"/>
      <c r="Q96" s="57"/>
      <c r="R96" s="57"/>
      <c r="S96" s="57"/>
      <c r="T96" s="57"/>
      <c r="U96" s="57"/>
      <c r="V96" s="57"/>
      <c r="W96" s="57"/>
      <c r="X96" s="57"/>
    </row>
    <row r="97" spans="1:24" x14ac:dyDescent="0.3">
      <c r="A97" s="57"/>
      <c r="B97" s="57"/>
      <c r="C97" s="57"/>
      <c r="D97" s="57"/>
      <c r="E97" s="57"/>
      <c r="F97" s="57"/>
      <c r="G97" s="57"/>
      <c r="H97" s="57"/>
      <c r="I97" s="57"/>
      <c r="J97" s="57"/>
      <c r="K97" s="57"/>
      <c r="L97" s="57"/>
      <c r="M97" s="57"/>
      <c r="N97" s="57"/>
      <c r="O97" s="57"/>
      <c r="P97" s="57"/>
      <c r="Q97" s="57"/>
      <c r="R97" s="57"/>
      <c r="S97" s="57"/>
      <c r="T97" s="57"/>
      <c r="U97" s="57"/>
      <c r="V97" s="57"/>
      <c r="W97" s="57"/>
      <c r="X97" s="57"/>
    </row>
    <row r="98" spans="1:24" x14ac:dyDescent="0.3">
      <c r="A98" s="57"/>
      <c r="B98" s="57"/>
      <c r="C98" s="57"/>
      <c r="D98" s="57"/>
      <c r="E98" s="57"/>
      <c r="F98" s="57"/>
      <c r="G98" s="57"/>
      <c r="H98" s="57"/>
      <c r="I98" s="57"/>
      <c r="J98" s="57"/>
      <c r="K98" s="57"/>
      <c r="L98" s="57"/>
      <c r="M98" s="57"/>
      <c r="N98" s="57"/>
      <c r="O98" s="57"/>
      <c r="P98" s="57"/>
      <c r="Q98" s="57"/>
      <c r="R98" s="57"/>
      <c r="S98" s="57"/>
      <c r="T98" s="57"/>
      <c r="U98" s="57"/>
      <c r="V98" s="57"/>
      <c r="W98" s="57"/>
      <c r="X98" s="57"/>
    </row>
    <row r="99" spans="1:24" x14ac:dyDescent="0.3">
      <c r="A99" s="57"/>
      <c r="B99" s="57"/>
      <c r="C99" s="57"/>
      <c r="D99" s="57"/>
      <c r="E99" s="57"/>
      <c r="F99" s="57"/>
      <c r="G99" s="57"/>
      <c r="H99" s="57"/>
      <c r="I99" s="57"/>
      <c r="J99" s="57"/>
      <c r="K99" s="57"/>
      <c r="L99" s="57"/>
      <c r="M99" s="57"/>
      <c r="N99" s="57"/>
      <c r="O99" s="57"/>
      <c r="P99" s="57"/>
      <c r="Q99" s="57"/>
      <c r="R99" s="57"/>
      <c r="S99" s="57"/>
      <c r="T99" s="57"/>
      <c r="U99" s="57"/>
      <c r="V99" s="57"/>
      <c r="W99" s="57"/>
      <c r="X99" s="57"/>
    </row>
    <row r="100" spans="1:24" x14ac:dyDescent="0.3">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row>
    <row r="101" spans="1:24" x14ac:dyDescent="0.3">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row>
    <row r="102" spans="1:24" x14ac:dyDescent="0.3">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row>
    <row r="103" spans="1:24" x14ac:dyDescent="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row>
    <row r="104" spans="1:24" x14ac:dyDescent="0.3">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row>
    <row r="105" spans="1:24" x14ac:dyDescent="0.3">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row>
    <row r="106" spans="1:24" x14ac:dyDescent="0.3">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row>
    <row r="107" spans="1:24" x14ac:dyDescent="0.3">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row>
    <row r="108" spans="1:24" x14ac:dyDescent="0.3">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row>
    <row r="109" spans="1:24" x14ac:dyDescent="0.3">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row>
    <row r="110" spans="1:24" x14ac:dyDescent="0.3">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row>
    <row r="111" spans="1:24" x14ac:dyDescent="0.3">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row>
    <row r="112" spans="1:24" x14ac:dyDescent="0.3">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row>
    <row r="113" spans="1:24" x14ac:dyDescent="0.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row>
    <row r="114" spans="1:24" x14ac:dyDescent="0.3">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row>
    <row r="115" spans="1:24" x14ac:dyDescent="0.3">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row>
    <row r="116" spans="1:24" x14ac:dyDescent="0.3">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row>
    <row r="117" spans="1:24" x14ac:dyDescent="0.3">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row>
    <row r="118" spans="1:24" x14ac:dyDescent="0.3">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row>
    <row r="119" spans="1:24" x14ac:dyDescent="0.3">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row>
    <row r="120" spans="1:24" x14ac:dyDescent="0.3">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row>
    <row r="121" spans="1:24" x14ac:dyDescent="0.3">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row>
    <row r="122" spans="1:24" x14ac:dyDescent="0.3">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row>
    <row r="123" spans="1:24" x14ac:dyDescent="0.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row>
    <row r="124" spans="1:24" x14ac:dyDescent="0.3">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row>
    <row r="125" spans="1:24" x14ac:dyDescent="0.3">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row>
    <row r="126" spans="1:24" x14ac:dyDescent="0.3">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row>
    <row r="127" spans="1:24" x14ac:dyDescent="0.3">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row>
    <row r="128" spans="1:24" x14ac:dyDescent="0.3">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row>
    <row r="129" spans="1:24" x14ac:dyDescent="0.3">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row>
    <row r="130" spans="1:24" x14ac:dyDescent="0.3">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row>
    <row r="131" spans="1:24" x14ac:dyDescent="0.3">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row>
    <row r="132" spans="1:24" x14ac:dyDescent="0.3">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row>
    <row r="133" spans="1:24" x14ac:dyDescent="0.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row>
    <row r="134" spans="1:24" x14ac:dyDescent="0.3">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row>
    <row r="135" spans="1:24" x14ac:dyDescent="0.3">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row>
    <row r="136" spans="1:24" x14ac:dyDescent="0.3">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row>
    <row r="137" spans="1:24" x14ac:dyDescent="0.3">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row>
    <row r="138" spans="1:24" x14ac:dyDescent="0.3">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row>
    <row r="139" spans="1:24" x14ac:dyDescent="0.3">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row>
    <row r="140" spans="1:24" x14ac:dyDescent="0.3">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row>
    <row r="141" spans="1:24" x14ac:dyDescent="0.3">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row>
    <row r="142" spans="1:24" x14ac:dyDescent="0.3">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row>
    <row r="143" spans="1:24" x14ac:dyDescent="0.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row>
    <row r="144" spans="1:24" x14ac:dyDescent="0.3">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row>
    <row r="145" spans="1:24" x14ac:dyDescent="0.3">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row>
    <row r="146" spans="1:24" x14ac:dyDescent="0.3">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row>
    <row r="147" spans="1:24" x14ac:dyDescent="0.3">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row>
    <row r="148" spans="1:24" x14ac:dyDescent="0.3">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row>
    <row r="149" spans="1:24" x14ac:dyDescent="0.3">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row>
    <row r="150" spans="1:24" x14ac:dyDescent="0.3">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row>
    <row r="151" spans="1:24" x14ac:dyDescent="0.3">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row>
    <row r="152" spans="1:24" x14ac:dyDescent="0.3">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row>
    <row r="153" spans="1:24" x14ac:dyDescent="0.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row>
    <row r="154" spans="1:24" x14ac:dyDescent="0.3">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row>
    <row r="155" spans="1:24" x14ac:dyDescent="0.3">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row>
    <row r="156" spans="1:24" x14ac:dyDescent="0.3">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row>
    <row r="157" spans="1:24" x14ac:dyDescent="0.3">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row>
    <row r="158" spans="1:24" x14ac:dyDescent="0.3">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row>
    <row r="159" spans="1:24" x14ac:dyDescent="0.3">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row>
    <row r="160" spans="1:24" x14ac:dyDescent="0.3">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row>
    <row r="161" spans="1:24" x14ac:dyDescent="0.3">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row>
    <row r="162" spans="1:24" x14ac:dyDescent="0.3">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row>
    <row r="163" spans="1:24" x14ac:dyDescent="0.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row>
    <row r="164" spans="1:24" x14ac:dyDescent="0.3">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row>
    <row r="165" spans="1:24" x14ac:dyDescent="0.3">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row>
    <row r="166" spans="1:24" x14ac:dyDescent="0.3">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row>
    <row r="167" spans="1:24" x14ac:dyDescent="0.3">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row>
    <row r="168" spans="1:24" x14ac:dyDescent="0.3">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row>
    <row r="169" spans="1:24" x14ac:dyDescent="0.3">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row>
    <row r="170" spans="1:24" x14ac:dyDescent="0.3">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row>
    <row r="171" spans="1:24" x14ac:dyDescent="0.3">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row>
    <row r="172" spans="1:24" x14ac:dyDescent="0.3">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row>
    <row r="173" spans="1:24" x14ac:dyDescent="0.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row>
    <row r="174" spans="1:24" x14ac:dyDescent="0.3">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row>
    <row r="175" spans="1:24" x14ac:dyDescent="0.3">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row>
    <row r="176" spans="1:24" x14ac:dyDescent="0.3">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row>
    <row r="177" spans="1:24" x14ac:dyDescent="0.3">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row>
    <row r="178" spans="1:24" x14ac:dyDescent="0.3">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row>
    <row r="179" spans="1:24" x14ac:dyDescent="0.3">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row>
    <row r="180" spans="1:24" x14ac:dyDescent="0.3">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row>
    <row r="181" spans="1:24" x14ac:dyDescent="0.3">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row>
    <row r="182" spans="1:24" x14ac:dyDescent="0.3">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row>
    <row r="183" spans="1:24" x14ac:dyDescent="0.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row>
    <row r="184" spans="1:24" x14ac:dyDescent="0.3">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row>
    <row r="185" spans="1:24" x14ac:dyDescent="0.3">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row>
    <row r="186" spans="1:24" x14ac:dyDescent="0.3">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row>
    <row r="187" spans="1:24" x14ac:dyDescent="0.3">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row>
    <row r="188" spans="1:24" x14ac:dyDescent="0.3">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row>
    <row r="189" spans="1:24" x14ac:dyDescent="0.3">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row>
    <row r="190" spans="1:24" x14ac:dyDescent="0.3">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row>
    <row r="191" spans="1:24" x14ac:dyDescent="0.3">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row>
    <row r="192" spans="1:24" x14ac:dyDescent="0.3">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row>
    <row r="193" spans="1:24" x14ac:dyDescent="0.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row>
    <row r="194" spans="1:24" x14ac:dyDescent="0.3">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row>
    <row r="195" spans="1:24" x14ac:dyDescent="0.3">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row>
    <row r="196" spans="1:24" x14ac:dyDescent="0.3">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row>
    <row r="197" spans="1:24" x14ac:dyDescent="0.3">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row>
    <row r="198" spans="1:24" x14ac:dyDescent="0.3">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row>
    <row r="199" spans="1:24" x14ac:dyDescent="0.3">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row>
    <row r="200" spans="1:24" x14ac:dyDescent="0.3">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row>
    <row r="201" spans="1:24" x14ac:dyDescent="0.3">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row>
    <row r="202" spans="1:24" x14ac:dyDescent="0.3">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row>
    <row r="203" spans="1:24" x14ac:dyDescent="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row>
    <row r="204" spans="1:24" x14ac:dyDescent="0.3">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row>
    <row r="205" spans="1:24" x14ac:dyDescent="0.3">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row>
    <row r="206" spans="1:24" x14ac:dyDescent="0.3">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row>
    <row r="207" spans="1:24" x14ac:dyDescent="0.3">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row>
    <row r="208" spans="1:24" x14ac:dyDescent="0.3">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row>
    <row r="209" spans="1:24" x14ac:dyDescent="0.3">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row>
    <row r="210" spans="1:24" x14ac:dyDescent="0.3">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row>
    <row r="211" spans="1:24" x14ac:dyDescent="0.3">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row>
    <row r="212" spans="1:24" x14ac:dyDescent="0.3">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row>
    <row r="213" spans="1:24" x14ac:dyDescent="0.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row>
  </sheetData>
  <mergeCells count="4">
    <mergeCell ref="G1:O1"/>
    <mergeCell ref="F2:P2"/>
    <mergeCell ref="F6:P6"/>
    <mergeCell ref="F20:P2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D6F2-EA03-4062-8C43-71EEE1A6AB30}">
  <dimension ref="A1:U11"/>
  <sheetViews>
    <sheetView showGridLines="0" topLeftCell="A15" workbookViewId="0">
      <selection activeCell="B1" sqref="B1"/>
    </sheetView>
  </sheetViews>
  <sheetFormatPr defaultRowHeight="14.4" x14ac:dyDescent="0.3"/>
  <sheetData>
    <row r="1" spans="1:21" ht="14.4" customHeight="1" x14ac:dyDescent="0.3">
      <c r="A1" s="57"/>
      <c r="E1" s="65" t="s">
        <v>66</v>
      </c>
      <c r="F1" s="66"/>
      <c r="G1" s="66"/>
      <c r="H1" s="66"/>
      <c r="I1" s="66"/>
      <c r="J1" s="66"/>
      <c r="K1" s="66"/>
      <c r="L1" s="66"/>
      <c r="M1" s="66"/>
      <c r="N1" s="66"/>
      <c r="O1" s="66"/>
      <c r="P1" s="66"/>
      <c r="Q1" s="66"/>
      <c r="R1" s="66"/>
      <c r="S1" s="66"/>
    </row>
    <row r="2" spans="1:21" ht="15" customHeight="1" thickBot="1" x14ac:dyDescent="0.35">
      <c r="E2" s="65"/>
      <c r="F2" s="66"/>
      <c r="G2" s="66"/>
      <c r="H2" s="66"/>
      <c r="I2" s="66"/>
      <c r="J2" s="66"/>
      <c r="K2" s="66"/>
      <c r="L2" s="66"/>
      <c r="M2" s="66"/>
      <c r="N2" s="66"/>
      <c r="O2" s="66"/>
      <c r="P2" s="66"/>
      <c r="Q2" s="66"/>
      <c r="R2" s="66"/>
      <c r="S2" s="66"/>
    </row>
    <row r="3" spans="1:21" ht="18.600000000000001" thickBot="1" x14ac:dyDescent="0.4">
      <c r="C3" s="62" t="s">
        <v>67</v>
      </c>
      <c r="D3" s="63"/>
      <c r="E3" s="63"/>
      <c r="F3" s="63"/>
      <c r="G3" s="63"/>
      <c r="H3" s="63"/>
      <c r="I3" s="63"/>
      <c r="J3" s="63"/>
      <c r="K3" s="63"/>
      <c r="L3" s="63"/>
      <c r="M3" s="63"/>
      <c r="N3" s="63"/>
      <c r="O3" s="63"/>
      <c r="P3" s="63"/>
      <c r="Q3" s="63"/>
      <c r="R3" s="63"/>
      <c r="S3" s="63"/>
      <c r="T3" s="63"/>
      <c r="U3" s="64"/>
    </row>
    <row r="4" spans="1:21" ht="14.4" customHeight="1" x14ac:dyDescent="0.3">
      <c r="C4" s="91" t="s">
        <v>19</v>
      </c>
      <c r="D4" s="92"/>
      <c r="E4" s="93"/>
      <c r="G4" s="97" t="s">
        <v>62</v>
      </c>
      <c r="H4" s="98"/>
      <c r="I4" s="99"/>
      <c r="K4" s="76" t="s">
        <v>63</v>
      </c>
      <c r="L4" s="77"/>
      <c r="M4" s="78"/>
      <c r="O4" s="76" t="s">
        <v>65</v>
      </c>
      <c r="P4" s="77"/>
      <c r="Q4" s="78"/>
      <c r="S4" s="91" t="s">
        <v>79</v>
      </c>
      <c r="T4" s="92"/>
      <c r="U4" s="93"/>
    </row>
    <row r="5" spans="1:21" ht="14.4" customHeight="1" thickBot="1" x14ac:dyDescent="0.35">
      <c r="C5" s="94"/>
      <c r="D5" s="95"/>
      <c r="E5" s="96"/>
      <c r="G5" s="100"/>
      <c r="H5" s="101"/>
      <c r="I5" s="102"/>
      <c r="K5" s="79"/>
      <c r="L5" s="80"/>
      <c r="M5" s="81"/>
      <c r="O5" s="79"/>
      <c r="P5" s="80"/>
      <c r="Q5" s="81"/>
      <c r="S5" s="94"/>
      <c r="T5" s="95"/>
      <c r="U5" s="96"/>
    </row>
    <row r="6" spans="1:21" ht="14.4" customHeight="1" thickBot="1" x14ac:dyDescent="0.35">
      <c r="C6" s="88">
        <f>_xlfn.XLOOKUP(Data!A7,Data!A5:A7,Data!B5:B7)</f>
        <v>43267.840000000004</v>
      </c>
      <c r="D6" s="89"/>
      <c r="E6" s="90"/>
      <c r="G6" s="88">
        <v>28921</v>
      </c>
      <c r="H6" s="89"/>
      <c r="I6" s="90"/>
      <c r="K6" s="82">
        <v>14346.84</v>
      </c>
      <c r="L6" s="83"/>
      <c r="M6" s="84"/>
      <c r="O6" s="85">
        <f>K6/C6</f>
        <v>0.33158207111794807</v>
      </c>
      <c r="P6" s="86"/>
      <c r="Q6" s="87"/>
      <c r="S6" s="103" t="str">
        <f>IF(K6&gt;=6500,"Exceeded Goal", "Below Goal")</f>
        <v>Exceeded Goal</v>
      </c>
      <c r="T6" s="104"/>
      <c r="U6" s="105"/>
    </row>
    <row r="7" spans="1:21" ht="18.600000000000001" thickBot="1" x14ac:dyDescent="0.4">
      <c r="C7" s="106" t="s">
        <v>68</v>
      </c>
      <c r="D7" s="107"/>
      <c r="E7" s="107"/>
      <c r="F7" s="107"/>
      <c r="G7" s="107"/>
      <c r="H7" s="107"/>
      <c r="I7" s="107"/>
      <c r="J7" s="107"/>
      <c r="K7" s="107"/>
      <c r="L7" s="107"/>
      <c r="M7" s="107"/>
      <c r="N7" s="107"/>
      <c r="O7" s="107"/>
      <c r="P7" s="107"/>
      <c r="Q7" s="107"/>
      <c r="R7" s="107"/>
      <c r="S7" s="107"/>
      <c r="T7" s="107"/>
      <c r="U7" s="107"/>
    </row>
    <row r="8" spans="1:21" ht="16.2" thickBot="1" x14ac:dyDescent="0.35">
      <c r="C8" s="58"/>
      <c r="D8" s="60"/>
      <c r="E8" s="60"/>
      <c r="F8" s="60"/>
      <c r="G8" s="60"/>
      <c r="H8" s="60"/>
      <c r="I8" s="60"/>
      <c r="J8" s="60"/>
      <c r="K8" s="108" t="s">
        <v>71</v>
      </c>
      <c r="L8" s="109"/>
      <c r="M8" s="61" t="s">
        <v>28</v>
      </c>
      <c r="N8" s="60"/>
      <c r="O8" s="60"/>
      <c r="P8" s="60"/>
      <c r="Q8" s="60"/>
      <c r="R8" s="60"/>
      <c r="S8" s="60"/>
      <c r="T8" s="60"/>
      <c r="U8" s="59"/>
    </row>
    <row r="9" spans="1:21" ht="14.4" customHeight="1" x14ac:dyDescent="0.3">
      <c r="C9" s="113" t="s">
        <v>58</v>
      </c>
      <c r="D9" s="114"/>
      <c r="E9" s="115"/>
      <c r="G9" s="113" t="s">
        <v>2</v>
      </c>
      <c r="H9" s="114"/>
      <c r="I9" s="115"/>
      <c r="K9" s="113" t="s">
        <v>51</v>
      </c>
      <c r="L9" s="114"/>
      <c r="M9" s="115"/>
      <c r="O9" s="113" t="s">
        <v>69</v>
      </c>
      <c r="P9" s="114"/>
      <c r="Q9" s="115"/>
      <c r="S9" s="91" t="s">
        <v>80</v>
      </c>
      <c r="T9" s="92"/>
      <c r="U9" s="93"/>
    </row>
    <row r="10" spans="1:21" ht="14.4" customHeight="1" thickBot="1" x14ac:dyDescent="0.35">
      <c r="C10" s="116"/>
      <c r="D10" s="117"/>
      <c r="E10" s="118"/>
      <c r="G10" s="116"/>
      <c r="H10" s="117"/>
      <c r="I10" s="118"/>
      <c r="K10" s="116"/>
      <c r="L10" s="117"/>
      <c r="M10" s="118"/>
      <c r="O10" s="116"/>
      <c r="P10" s="117"/>
      <c r="Q10" s="118"/>
      <c r="S10" s="94"/>
      <c r="T10" s="95"/>
      <c r="U10" s="96"/>
    </row>
    <row r="11" spans="1:21" ht="21.6" thickBot="1" x14ac:dyDescent="0.35">
      <c r="C11" s="103">
        <f>_xlfn.XLOOKUP(Data!A6,Data!A5:A7,Data!B5:B7)</f>
        <v>3933.44</v>
      </c>
      <c r="D11" s="104"/>
      <c r="E11" s="105"/>
      <c r="G11" s="103">
        <f>_xlfn.XLOOKUP(M8,Data!A16:A27,Data!J16:J27)</f>
        <v>2366</v>
      </c>
      <c r="H11" s="104"/>
      <c r="I11" s="105"/>
      <c r="K11" s="103">
        <f>_xlfn.XLOOKUP(M8,Data!A16:A27,Data!K16:K27)</f>
        <v>1567.44</v>
      </c>
      <c r="L11" s="104"/>
      <c r="M11" s="105"/>
      <c r="O11" s="110">
        <f>K11/C11</f>
        <v>0.39849088838268792</v>
      </c>
      <c r="P11" s="111"/>
      <c r="Q11" s="112"/>
      <c r="S11" s="103" t="str">
        <f>IF(K11&gt;=500,"Exceeded Goal", "Below Goal")</f>
        <v>Exceeded Goal</v>
      </c>
      <c r="T11" s="104"/>
      <c r="U11" s="105"/>
    </row>
  </sheetData>
  <mergeCells count="24">
    <mergeCell ref="S6:U6"/>
    <mergeCell ref="S9:U10"/>
    <mergeCell ref="S11:U11"/>
    <mergeCell ref="C3:U3"/>
    <mergeCell ref="E1:S2"/>
    <mergeCell ref="C7:U7"/>
    <mergeCell ref="K8:L8"/>
    <mergeCell ref="C11:E11"/>
    <mergeCell ref="G11:I11"/>
    <mergeCell ref="K11:M11"/>
    <mergeCell ref="O11:Q11"/>
    <mergeCell ref="S4:U5"/>
    <mergeCell ref="C9:E10"/>
    <mergeCell ref="G9:I10"/>
    <mergeCell ref="K9:M10"/>
    <mergeCell ref="O9:Q10"/>
    <mergeCell ref="K4:M5"/>
    <mergeCell ref="O4:Q5"/>
    <mergeCell ref="K6:M6"/>
    <mergeCell ref="O6:Q6"/>
    <mergeCell ref="C6:E6"/>
    <mergeCell ref="C4:E5"/>
    <mergeCell ref="G4:I5"/>
    <mergeCell ref="G6:I6"/>
  </mergeCells>
  <conditionalFormatting sqref="G11:I11">
    <cfRule type="cellIs" dxfId="14" priority="4" operator="greaterThan">
      <formula>3000</formula>
    </cfRule>
    <cfRule type="cellIs" dxfId="13" priority="6" operator="lessThan">
      <formula>3000</formula>
    </cfRule>
  </conditionalFormatting>
  <conditionalFormatting sqref="K11:M11">
    <cfRule type="cellIs" dxfId="12" priority="5" operator="lessThan">
      <formula>500</formula>
    </cfRule>
    <cfRule type="cellIs" dxfId="11" priority="7" operator="greaterThan">
      <formula>750</formula>
    </cfRule>
  </conditionalFormatting>
  <conditionalFormatting sqref="O11:Q11">
    <cfRule type="cellIs" dxfId="10" priority="1" operator="between">
      <formula>0.35</formula>
      <formula>0.2</formula>
    </cfRule>
    <cfRule type="cellIs" dxfId="9" priority="2" operator="lessThan">
      <formula>0.15</formula>
    </cfRule>
    <cfRule type="cellIs" dxfId="8" priority="3" operator="greaterThan">
      <formula>0.35</formula>
    </cfRule>
  </conditionalFormatting>
  <conditionalFormatting sqref="S6:U6">
    <cfRule type="containsText" dxfId="7" priority="10" operator="containsText" text="Exceeded">
      <formula>NOT(ISERROR(SEARCH("Exceeded",S6)))</formula>
    </cfRule>
  </conditionalFormatting>
  <conditionalFormatting sqref="S11:U11">
    <cfRule type="containsText" dxfId="6" priority="8" operator="containsText" text="Below">
      <formula>NOT(ISERROR(SEARCH("Below",S11)))</formula>
    </cfRule>
    <cfRule type="containsText" dxfId="5" priority="9" operator="containsText" text="Exceeded">
      <formula>NOT(ISERROR(SEARCH("Exceeded",S11)))</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9ADF226-1EF4-4317-B3CA-2BDEB57C31F9}">
          <x14:formula1>
            <xm:f>Data!$A$16:$A$26</xm:f>
          </x14:formula1>
          <xm:sqref>M8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5C657-4D24-4F08-9E82-71136DA7DD07}">
  <dimension ref="A1:N27"/>
  <sheetViews>
    <sheetView showGridLines="0" workbookViewId="0">
      <selection activeCell="B9" sqref="B9"/>
    </sheetView>
  </sheetViews>
  <sheetFormatPr defaultRowHeight="14.4" x14ac:dyDescent="0.3"/>
  <cols>
    <col min="1" max="1" width="21.77734375" customWidth="1"/>
    <col min="2" max="2" width="14.5546875" bestFit="1" customWidth="1"/>
    <col min="3" max="3" width="15.6640625" bestFit="1" customWidth="1"/>
    <col min="4" max="4" width="13.6640625" bestFit="1" customWidth="1"/>
    <col min="5" max="5" width="14.33203125" bestFit="1" customWidth="1"/>
    <col min="6" max="9" width="13.6640625" bestFit="1" customWidth="1"/>
    <col min="10" max="10" width="21.6640625" bestFit="1" customWidth="1"/>
    <col min="11" max="11" width="14.77734375" bestFit="1" customWidth="1"/>
    <col min="12" max="12" width="14.88671875" bestFit="1" customWidth="1"/>
    <col min="13" max="13" width="17.44140625" customWidth="1"/>
    <col min="14" max="14" width="13" customWidth="1"/>
  </cols>
  <sheetData>
    <row r="1" spans="1:14" ht="14.4" customHeight="1" x14ac:dyDescent="0.3">
      <c r="A1" s="65" t="s">
        <v>81</v>
      </c>
      <c r="B1" s="66"/>
      <c r="C1" s="66"/>
      <c r="D1" s="66"/>
      <c r="E1" s="66"/>
      <c r="F1" s="66"/>
      <c r="G1" s="66"/>
      <c r="H1" s="66"/>
      <c r="I1" s="66"/>
      <c r="J1" s="66"/>
      <c r="K1" s="66"/>
      <c r="L1" s="66"/>
      <c r="M1" s="66"/>
      <c r="N1" s="66"/>
    </row>
    <row r="2" spans="1:14" ht="15" customHeight="1" thickBot="1" x14ac:dyDescent="0.35">
      <c r="A2" s="65"/>
      <c r="B2" s="66"/>
      <c r="C2" s="66"/>
      <c r="D2" s="66"/>
      <c r="E2" s="66"/>
      <c r="F2" s="66"/>
      <c r="G2" s="66"/>
      <c r="H2" s="66"/>
      <c r="I2" s="66"/>
      <c r="J2" s="66"/>
      <c r="K2" s="66"/>
      <c r="L2" s="66"/>
      <c r="M2" s="66"/>
      <c r="N2" s="66"/>
    </row>
    <row r="3" spans="1:14" ht="18.600000000000001" thickBot="1" x14ac:dyDescent="0.4">
      <c r="A3" s="62" t="s">
        <v>53</v>
      </c>
      <c r="B3" s="63"/>
      <c r="C3" s="63"/>
      <c r="D3" s="63"/>
      <c r="E3" s="63"/>
      <c r="F3" s="63"/>
      <c r="G3" s="63"/>
      <c r="H3" s="63"/>
      <c r="I3" s="63"/>
      <c r="J3" s="63"/>
      <c r="K3" s="63"/>
      <c r="L3" s="63"/>
      <c r="M3" s="63"/>
      <c r="N3" s="64"/>
    </row>
    <row r="4" spans="1:14" x14ac:dyDescent="0.3">
      <c r="A4" s="53" t="s">
        <v>55</v>
      </c>
      <c r="B4" s="53" t="s">
        <v>56</v>
      </c>
      <c r="C4" t="s">
        <v>59</v>
      </c>
      <c r="D4" t="s">
        <v>60</v>
      </c>
    </row>
    <row r="5" spans="1:14" x14ac:dyDescent="0.3">
      <c r="A5" t="s">
        <v>4</v>
      </c>
      <c r="B5" s="52">
        <v>22.69</v>
      </c>
      <c r="C5" t="s">
        <v>9</v>
      </c>
      <c r="D5" s="52">
        <v>18436</v>
      </c>
    </row>
    <row r="6" spans="1:14" x14ac:dyDescent="0.3">
      <c r="A6" t="s">
        <v>54</v>
      </c>
      <c r="B6" s="52">
        <v>3933.44</v>
      </c>
      <c r="C6" t="s">
        <v>13</v>
      </c>
      <c r="D6" s="52">
        <v>2335</v>
      </c>
    </row>
    <row r="7" spans="1:14" x14ac:dyDescent="0.3">
      <c r="A7" t="s">
        <v>82</v>
      </c>
      <c r="B7" s="52">
        <f>SUM(B6 * 11)</f>
        <v>43267.840000000004</v>
      </c>
      <c r="C7" t="s">
        <v>15</v>
      </c>
      <c r="D7" s="52">
        <v>1960</v>
      </c>
    </row>
    <row r="8" spans="1:14" x14ac:dyDescent="0.3">
      <c r="B8" s="52"/>
      <c r="C8" t="s">
        <v>8</v>
      </c>
      <c r="D8" s="52">
        <v>1955</v>
      </c>
    </row>
    <row r="9" spans="1:14" x14ac:dyDescent="0.3">
      <c r="C9" t="s">
        <v>14</v>
      </c>
      <c r="D9" s="52">
        <v>1315</v>
      </c>
    </row>
    <row r="10" spans="1:14" x14ac:dyDescent="0.3">
      <c r="C10" t="s">
        <v>11</v>
      </c>
      <c r="D10" s="52">
        <v>1230</v>
      </c>
    </row>
    <row r="11" spans="1:14" x14ac:dyDescent="0.3">
      <c r="C11" t="s">
        <v>12</v>
      </c>
      <c r="D11" s="52">
        <v>1130</v>
      </c>
    </row>
    <row r="12" spans="1:14" x14ac:dyDescent="0.3">
      <c r="C12" t="s">
        <v>10</v>
      </c>
      <c r="D12" s="52">
        <v>560</v>
      </c>
    </row>
    <row r="15" spans="1:14" x14ac:dyDescent="0.3">
      <c r="A15" t="s">
        <v>2</v>
      </c>
      <c r="B15" t="s">
        <v>8</v>
      </c>
      <c r="C15" t="s">
        <v>9</v>
      </c>
      <c r="D15" t="s">
        <v>10</v>
      </c>
      <c r="E15" t="s">
        <v>11</v>
      </c>
      <c r="F15" t="s">
        <v>12</v>
      </c>
      <c r="G15" t="s">
        <v>13</v>
      </c>
      <c r="H15" t="s">
        <v>14</v>
      </c>
      <c r="I15" t="s">
        <v>15</v>
      </c>
      <c r="J15" t="s">
        <v>50</v>
      </c>
      <c r="K15" t="s">
        <v>57</v>
      </c>
    </row>
    <row r="16" spans="1:14" x14ac:dyDescent="0.3">
      <c r="A16" t="s">
        <v>21</v>
      </c>
      <c r="B16" s="52">
        <v>160</v>
      </c>
      <c r="C16" s="52">
        <v>1676</v>
      </c>
      <c r="D16" s="52">
        <v>45</v>
      </c>
      <c r="E16" s="52">
        <v>105</v>
      </c>
      <c r="F16" s="52">
        <v>90</v>
      </c>
      <c r="G16" s="52">
        <v>170</v>
      </c>
      <c r="H16" s="52">
        <v>95</v>
      </c>
      <c r="I16" s="52">
        <v>200</v>
      </c>
      <c r="J16" s="52">
        <f>SUM(B16:I16)</f>
        <v>2541</v>
      </c>
      <c r="K16" s="54">
        <f>$B$6-Monthly_Expenses[[#This Row],[Total Monthly Expense]]</f>
        <v>1392.44</v>
      </c>
    </row>
    <row r="17" spans="1:11" x14ac:dyDescent="0.3">
      <c r="A17" t="s">
        <v>76</v>
      </c>
      <c r="B17" s="52">
        <v>160</v>
      </c>
      <c r="C17" s="52">
        <v>1676</v>
      </c>
      <c r="D17" s="52">
        <v>45</v>
      </c>
      <c r="E17" s="52">
        <v>105</v>
      </c>
      <c r="F17" s="52">
        <v>90</v>
      </c>
      <c r="G17" s="52">
        <v>230</v>
      </c>
      <c r="H17" s="52">
        <v>95</v>
      </c>
      <c r="I17" s="52">
        <v>120</v>
      </c>
      <c r="J17" s="52">
        <f t="shared" ref="J17:J26" si="0">SUM(B17:I17)</f>
        <v>2521</v>
      </c>
      <c r="K17" s="54">
        <f>$B$6-Monthly_Expenses[[#This Row],[Total Monthly Expense]]</f>
        <v>1412.44</v>
      </c>
    </row>
    <row r="18" spans="1:11" x14ac:dyDescent="0.3">
      <c r="A18" t="s">
        <v>25</v>
      </c>
      <c r="B18" s="52">
        <v>160</v>
      </c>
      <c r="C18" s="52">
        <v>1676</v>
      </c>
      <c r="D18" s="52">
        <v>45</v>
      </c>
      <c r="E18" s="52">
        <v>105</v>
      </c>
      <c r="F18" s="52">
        <v>85</v>
      </c>
      <c r="G18" s="52">
        <v>200</v>
      </c>
      <c r="H18" s="52">
        <v>95</v>
      </c>
      <c r="I18" s="52">
        <v>100</v>
      </c>
      <c r="J18" s="52">
        <f t="shared" si="0"/>
        <v>2466</v>
      </c>
      <c r="K18" s="54">
        <f>$B$6-Monthly_Expenses[[#This Row],[Total Monthly Expense]]</f>
        <v>1467.44</v>
      </c>
    </row>
    <row r="19" spans="1:11" x14ac:dyDescent="0.3">
      <c r="A19" t="s">
        <v>26</v>
      </c>
      <c r="B19" s="52">
        <v>150</v>
      </c>
      <c r="C19" s="52">
        <v>1676</v>
      </c>
      <c r="D19" s="52">
        <v>45</v>
      </c>
      <c r="E19" s="52">
        <v>120</v>
      </c>
      <c r="F19" s="52">
        <v>85</v>
      </c>
      <c r="G19" s="52">
        <v>170</v>
      </c>
      <c r="H19" s="52">
        <v>95</v>
      </c>
      <c r="I19" s="52">
        <v>160</v>
      </c>
      <c r="J19" s="52">
        <f t="shared" si="0"/>
        <v>2501</v>
      </c>
      <c r="K19" s="54">
        <f>$B$6-Monthly_Expenses[[#This Row],[Total Monthly Expense]]</f>
        <v>1432.44</v>
      </c>
    </row>
    <row r="20" spans="1:11" x14ac:dyDescent="0.3">
      <c r="A20" t="s">
        <v>28</v>
      </c>
      <c r="B20" s="52">
        <v>165</v>
      </c>
      <c r="C20" s="52">
        <v>1676</v>
      </c>
      <c r="D20" s="52">
        <v>55</v>
      </c>
      <c r="E20" s="52">
        <v>120</v>
      </c>
      <c r="F20" s="52">
        <v>85</v>
      </c>
      <c r="G20" s="52">
        <v>170</v>
      </c>
      <c r="H20" s="52">
        <v>95</v>
      </c>
      <c r="I20" s="52">
        <v>0</v>
      </c>
      <c r="J20" s="52">
        <f t="shared" si="0"/>
        <v>2366</v>
      </c>
      <c r="K20" s="54">
        <f>$B$6-Monthly_Expenses[[#This Row],[Total Monthly Expense]]</f>
        <v>1567.44</v>
      </c>
    </row>
    <row r="21" spans="1:11" x14ac:dyDescent="0.3">
      <c r="A21" t="s">
        <v>29</v>
      </c>
      <c r="B21" s="52">
        <v>140</v>
      </c>
      <c r="C21" s="52">
        <v>1676</v>
      </c>
      <c r="D21" s="52">
        <v>45</v>
      </c>
      <c r="E21" s="52">
        <v>105</v>
      </c>
      <c r="F21" s="52">
        <v>90</v>
      </c>
      <c r="G21" s="52">
        <v>150</v>
      </c>
      <c r="H21" s="52">
        <v>95</v>
      </c>
      <c r="I21" s="52">
        <v>200</v>
      </c>
      <c r="J21" s="52">
        <f t="shared" si="0"/>
        <v>2501</v>
      </c>
      <c r="K21" s="54">
        <f>$B$6-Monthly_Expenses[[#This Row],[Total Monthly Expense]]</f>
        <v>1432.44</v>
      </c>
    </row>
    <row r="22" spans="1:11" x14ac:dyDescent="0.3">
      <c r="A22" t="s">
        <v>30</v>
      </c>
      <c r="B22" s="52">
        <v>350</v>
      </c>
      <c r="C22" s="52">
        <v>1676</v>
      </c>
      <c r="D22" s="52">
        <v>100</v>
      </c>
      <c r="E22" s="52">
        <v>150</v>
      </c>
      <c r="F22" s="52">
        <v>240</v>
      </c>
      <c r="G22" s="52">
        <v>560</v>
      </c>
      <c r="H22" s="52">
        <v>365</v>
      </c>
      <c r="I22" s="52">
        <v>500</v>
      </c>
      <c r="J22" s="52">
        <f t="shared" si="0"/>
        <v>3941</v>
      </c>
      <c r="K22" s="54">
        <f>$B$6-Monthly_Expenses[[#This Row],[Total Monthly Expense]]</f>
        <v>-7.5599999999999454</v>
      </c>
    </row>
    <row r="23" spans="1:11" x14ac:dyDescent="0.3">
      <c r="A23" t="s">
        <v>31</v>
      </c>
      <c r="B23" s="52">
        <v>160</v>
      </c>
      <c r="C23" s="52">
        <v>1676</v>
      </c>
      <c r="D23" s="52">
        <v>45</v>
      </c>
      <c r="E23" s="52">
        <v>105</v>
      </c>
      <c r="F23" s="52">
        <v>95</v>
      </c>
      <c r="G23" s="52">
        <v>170</v>
      </c>
      <c r="H23" s="52">
        <v>95</v>
      </c>
      <c r="I23" s="52">
        <v>250</v>
      </c>
      <c r="J23" s="52">
        <f t="shared" si="0"/>
        <v>2596</v>
      </c>
      <c r="K23" s="54">
        <f>$B$6-Monthly_Expenses[[#This Row],[Total Monthly Expense]]</f>
        <v>1337.44</v>
      </c>
    </row>
    <row r="24" spans="1:11" x14ac:dyDescent="0.3">
      <c r="A24" t="s">
        <v>32</v>
      </c>
      <c r="B24" s="52">
        <v>160</v>
      </c>
      <c r="C24" s="52">
        <v>1676</v>
      </c>
      <c r="D24" s="52">
        <v>45</v>
      </c>
      <c r="E24" s="52">
        <v>105</v>
      </c>
      <c r="F24" s="52">
        <v>90</v>
      </c>
      <c r="G24" s="52">
        <v>140</v>
      </c>
      <c r="H24" s="52">
        <v>95</v>
      </c>
      <c r="I24" s="52">
        <v>155</v>
      </c>
      <c r="J24" s="52">
        <f t="shared" si="0"/>
        <v>2466</v>
      </c>
      <c r="K24" s="54">
        <f>$B$6-Monthly_Expenses[[#This Row],[Total Monthly Expense]]</f>
        <v>1467.44</v>
      </c>
    </row>
    <row r="25" spans="1:11" x14ac:dyDescent="0.3">
      <c r="A25" t="s">
        <v>33</v>
      </c>
      <c r="B25" s="52">
        <v>150</v>
      </c>
      <c r="C25" s="52">
        <v>1676</v>
      </c>
      <c r="D25" s="52">
        <v>45</v>
      </c>
      <c r="E25" s="52">
        <v>105</v>
      </c>
      <c r="F25" s="52">
        <v>90</v>
      </c>
      <c r="G25" s="52">
        <v>205</v>
      </c>
      <c r="H25" s="52">
        <v>95</v>
      </c>
      <c r="I25" s="52">
        <v>75</v>
      </c>
      <c r="J25" s="52">
        <f t="shared" si="0"/>
        <v>2441</v>
      </c>
      <c r="K25" s="54">
        <f>$B$6-Monthly_Expenses[[#This Row],[Total Monthly Expense]]</f>
        <v>1492.44</v>
      </c>
    </row>
    <row r="26" spans="1:11" x14ac:dyDescent="0.3">
      <c r="A26" t="s">
        <v>34</v>
      </c>
      <c r="B26" s="52">
        <v>200</v>
      </c>
      <c r="C26" s="52">
        <v>1676</v>
      </c>
      <c r="D26" s="52">
        <v>45</v>
      </c>
      <c r="E26" s="52">
        <v>105</v>
      </c>
      <c r="F26" s="52">
        <v>90</v>
      </c>
      <c r="G26" s="52">
        <v>170</v>
      </c>
      <c r="H26" s="52">
        <v>95</v>
      </c>
      <c r="I26" s="52">
        <v>200</v>
      </c>
      <c r="J26" s="52">
        <f t="shared" si="0"/>
        <v>2581</v>
      </c>
      <c r="K26" s="54">
        <f>$B$6-Monthly_Expenses[[#This Row],[Total Monthly Expense]]</f>
        <v>1352.44</v>
      </c>
    </row>
    <row r="27" spans="1:11" x14ac:dyDescent="0.3">
      <c r="A27" t="s">
        <v>35</v>
      </c>
      <c r="B27" s="54">
        <f>SUBTOTAL(109,Monthly_Expenses[Electricity Bill])</f>
        <v>1955</v>
      </c>
      <c r="C27" s="54">
        <f>SUBTOTAL(109,Monthly_Expenses[Rent])</f>
        <v>18436</v>
      </c>
      <c r="D27" s="54">
        <f>SUBTOTAL(109,Monthly_Expenses[Phone Bill])</f>
        <v>560</v>
      </c>
      <c r="E27" s="54">
        <f>SUBTOTAL(109,Monthly_Expenses[Car Insurance])</f>
        <v>1230</v>
      </c>
      <c r="F27" s="54">
        <f>SUBTOTAL(109,Monthly_Expenses[Water Bill])</f>
        <v>1130</v>
      </c>
      <c r="G27" s="54">
        <f>SUBTOTAL(109,Monthly_Expenses[Grocery Bill])</f>
        <v>2335</v>
      </c>
      <c r="H27" s="54">
        <f>SUBTOTAL(109,Monthly_Expenses[Gas])</f>
        <v>1315</v>
      </c>
      <c r="I27" s="54">
        <f>SUBTOTAL(109,Monthly_Expenses[Dining Out])</f>
        <v>1960</v>
      </c>
      <c r="J27" s="54">
        <f>SUBTOTAL(109,Monthly_Expenses[Total Monthly Expense])</f>
        <v>28921</v>
      </c>
      <c r="K27" s="54">
        <f>SUBTOTAL(109,Monthly_Expenses[Net Savings])</f>
        <v>14346.840000000004</v>
      </c>
    </row>
  </sheetData>
  <mergeCells count="2">
    <mergeCell ref="A3:N3"/>
    <mergeCell ref="A1:N2"/>
  </mergeCells>
  <phoneticPr fontId="9" type="noConversion"/>
  <conditionalFormatting sqref="J16:J26">
    <cfRule type="cellIs" dxfId="4" priority="2" operator="lessThan">
      <formula>$B$6</formula>
    </cfRule>
    <cfRule type="cellIs" dxfId="3" priority="3" operator="greaterThan">
      <formula>$B$6</formula>
    </cfRule>
    <cfRule type="aboveAverage" dxfId="2" priority="4"/>
  </conditionalFormatting>
  <conditionalFormatting sqref="K16:K26">
    <cfRule type="cellIs" dxfId="1" priority="5" operator="lessThan">
      <formula>500</formula>
    </cfRule>
    <cfRule type="cellIs" dxfId="0" priority="6" operator="greaterThan">
      <formula>1000</formula>
    </cfRule>
    <cfRule type="iconSet" priority="7">
      <iconSet iconSet="3Symbols">
        <cfvo type="percent" val="0"/>
        <cfvo type="percent" val="33"/>
        <cfvo type="percent" val="67"/>
      </iconSet>
    </cfRule>
  </conditionalFormatting>
  <pageMargins left="0.7" right="0.7" top="0.75" bottom="0.75" header="0.3" footer="0.3"/>
  <pageSetup orientation="portrait" r:id="rId1"/>
  <drawing r:id="rId2"/>
  <tableParts count="3">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iconSet" priority="1" id="{8E261AB6-FB73-4842-842F-6DA116388260}">
            <x14:iconSet iconSet="3Symbols" custom="1">
              <x14:cfvo type="percent">
                <xm:f>0</xm:f>
              </x14:cfvo>
              <x14:cfvo type="num">
                <xm:f>3000</xm:f>
              </x14:cfvo>
              <x14:cfvo type="num">
                <xm:f>$B$6</xm:f>
              </x14:cfvo>
              <x14:cfIcon iconSet="3Symbols" iconId="2"/>
              <x14:cfIcon iconSet="3Symbols" iconId="1"/>
              <x14:cfIcon iconSet="3Symbols" iconId="0"/>
            </x14:iconSet>
          </x14:cfRule>
          <xm:sqref>J16:J26</xm:sqref>
        </x14:conditionalFormatting>
      </x14:conditionalFormattings>
    </ext>
    <ext xmlns:x15="http://schemas.microsoft.com/office/spreadsheetml/2010/11/main" uri="{3A4CF648-6AED-40f4-86FF-DC5316D8AED3}">
      <x14:slicerList xmlns:x14="http://schemas.microsoft.com/office/spreadsheetml/2009/9/main">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E7BD-30C5-4C85-B0A4-223A85EF61B5}">
  <dimension ref="A1:M29"/>
  <sheetViews>
    <sheetView showGridLines="0" tabSelected="1" topLeftCell="A2" workbookViewId="0">
      <selection activeCell="B17" sqref="B17"/>
    </sheetView>
  </sheetViews>
  <sheetFormatPr defaultRowHeight="14.4" x14ac:dyDescent="0.3"/>
  <cols>
    <col min="1" max="1" width="10.21875" bestFit="1" customWidth="1"/>
    <col min="2" max="2" width="19" bestFit="1" customWidth="1"/>
    <col min="3" max="3" width="11.21875" bestFit="1" customWidth="1"/>
  </cols>
  <sheetData>
    <row r="1" spans="1:13" ht="14.4" customHeight="1" x14ac:dyDescent="0.3">
      <c r="A1" s="119" t="s">
        <v>73</v>
      </c>
      <c r="B1" s="120"/>
      <c r="C1" s="120"/>
      <c r="D1" s="120"/>
      <c r="E1" s="120"/>
      <c r="F1" s="120"/>
      <c r="G1" s="120"/>
      <c r="H1" s="120"/>
      <c r="I1" s="120"/>
      <c r="J1" s="120"/>
      <c r="K1" s="120"/>
      <c r="L1" s="120"/>
      <c r="M1" s="120"/>
    </row>
    <row r="2" spans="1:13" ht="15" customHeight="1" thickBot="1" x14ac:dyDescent="0.35">
      <c r="A2" s="121"/>
      <c r="B2" s="122"/>
      <c r="C2" s="122"/>
      <c r="D2" s="122"/>
      <c r="E2" s="122"/>
      <c r="F2" s="122"/>
      <c r="G2" s="122"/>
      <c r="H2" s="122"/>
      <c r="I2" s="122"/>
      <c r="J2" s="122"/>
      <c r="K2" s="122"/>
      <c r="L2" s="122"/>
      <c r="M2" s="122"/>
    </row>
    <row r="3" spans="1:13" x14ac:dyDescent="0.3">
      <c r="A3" s="55" t="s">
        <v>7</v>
      </c>
      <c r="B3" t="s">
        <v>77</v>
      </c>
    </row>
    <row r="4" spans="1:13" x14ac:dyDescent="0.3">
      <c r="A4" s="56" t="s">
        <v>21</v>
      </c>
      <c r="B4" s="54">
        <v>2541</v>
      </c>
    </row>
    <row r="5" spans="1:13" x14ac:dyDescent="0.3">
      <c r="A5" s="56" t="s">
        <v>76</v>
      </c>
      <c r="B5" s="54">
        <v>2521</v>
      </c>
    </row>
    <row r="6" spans="1:13" x14ac:dyDescent="0.3">
      <c r="A6" s="56" t="s">
        <v>25</v>
      </c>
      <c r="B6" s="54">
        <v>2466</v>
      </c>
    </row>
    <row r="7" spans="1:13" x14ac:dyDescent="0.3">
      <c r="A7" s="56" t="s">
        <v>26</v>
      </c>
      <c r="B7" s="54">
        <v>2501</v>
      </c>
    </row>
    <row r="8" spans="1:13" x14ac:dyDescent="0.3">
      <c r="A8" s="56" t="s">
        <v>28</v>
      </c>
      <c r="B8" s="54">
        <v>2366</v>
      </c>
    </row>
    <row r="9" spans="1:13" x14ac:dyDescent="0.3">
      <c r="A9" s="56" t="s">
        <v>29</v>
      </c>
      <c r="B9" s="54">
        <v>2501</v>
      </c>
    </row>
    <row r="10" spans="1:13" x14ac:dyDescent="0.3">
      <c r="A10" s="56" t="s">
        <v>30</v>
      </c>
      <c r="B10" s="54">
        <v>3941</v>
      </c>
    </row>
    <row r="11" spans="1:13" x14ac:dyDescent="0.3">
      <c r="A11" s="56" t="s">
        <v>31</v>
      </c>
      <c r="B11" s="54">
        <v>2596</v>
      </c>
    </row>
    <row r="12" spans="1:13" x14ac:dyDescent="0.3">
      <c r="A12" s="56" t="s">
        <v>32</v>
      </c>
      <c r="B12" s="54">
        <v>2466</v>
      </c>
    </row>
    <row r="13" spans="1:13" x14ac:dyDescent="0.3">
      <c r="A13" s="56" t="s">
        <v>33</v>
      </c>
      <c r="B13" s="54">
        <v>2441</v>
      </c>
    </row>
    <row r="14" spans="1:13" x14ac:dyDescent="0.3">
      <c r="A14" s="56" t="s">
        <v>34</v>
      </c>
      <c r="B14" s="54">
        <v>2581</v>
      </c>
    </row>
    <row r="15" spans="1:13" x14ac:dyDescent="0.3">
      <c r="A15" s="56" t="s">
        <v>61</v>
      </c>
      <c r="B15" s="54">
        <v>28921</v>
      </c>
    </row>
    <row r="17" spans="1:3" x14ac:dyDescent="0.3">
      <c r="A17" s="55" t="s">
        <v>7</v>
      </c>
      <c r="B17" t="s">
        <v>64</v>
      </c>
      <c r="C17" t="s">
        <v>78</v>
      </c>
    </row>
    <row r="18" spans="1:3" x14ac:dyDescent="0.3">
      <c r="A18" s="56" t="s">
        <v>21</v>
      </c>
      <c r="B18" s="54">
        <v>2541</v>
      </c>
      <c r="C18" s="54">
        <v>1392.44</v>
      </c>
    </row>
    <row r="19" spans="1:3" x14ac:dyDescent="0.3">
      <c r="A19" s="56" t="s">
        <v>76</v>
      </c>
      <c r="B19" s="54">
        <v>2521</v>
      </c>
      <c r="C19" s="54">
        <v>1412.44</v>
      </c>
    </row>
    <row r="20" spans="1:3" x14ac:dyDescent="0.3">
      <c r="A20" s="56" t="s">
        <v>25</v>
      </c>
      <c r="B20" s="54">
        <v>2466</v>
      </c>
      <c r="C20" s="54">
        <v>1467.44</v>
      </c>
    </row>
    <row r="21" spans="1:3" x14ac:dyDescent="0.3">
      <c r="A21" s="56" t="s">
        <v>26</v>
      </c>
      <c r="B21" s="54">
        <v>2501</v>
      </c>
      <c r="C21" s="54">
        <v>1432.44</v>
      </c>
    </row>
    <row r="22" spans="1:3" x14ac:dyDescent="0.3">
      <c r="A22" s="56" t="s">
        <v>28</v>
      </c>
      <c r="B22" s="54">
        <v>2366</v>
      </c>
      <c r="C22" s="54">
        <v>1567.44</v>
      </c>
    </row>
    <row r="23" spans="1:3" x14ac:dyDescent="0.3">
      <c r="A23" s="56" t="s">
        <v>29</v>
      </c>
      <c r="B23" s="54">
        <v>2501</v>
      </c>
      <c r="C23" s="54">
        <v>1432.44</v>
      </c>
    </row>
    <row r="24" spans="1:3" x14ac:dyDescent="0.3">
      <c r="A24" s="56" t="s">
        <v>30</v>
      </c>
      <c r="B24" s="54">
        <v>3941</v>
      </c>
      <c r="C24" s="54">
        <v>-7.5599999999999454</v>
      </c>
    </row>
    <row r="25" spans="1:3" x14ac:dyDescent="0.3">
      <c r="A25" s="56" t="s">
        <v>31</v>
      </c>
      <c r="B25" s="54">
        <v>2596</v>
      </c>
      <c r="C25" s="54">
        <v>1337.44</v>
      </c>
    </row>
    <row r="26" spans="1:3" x14ac:dyDescent="0.3">
      <c r="A26" s="56" t="s">
        <v>32</v>
      </c>
      <c r="B26" s="54">
        <v>2466</v>
      </c>
      <c r="C26" s="54">
        <v>1467.44</v>
      </c>
    </row>
    <row r="27" spans="1:3" x14ac:dyDescent="0.3">
      <c r="A27" s="56" t="s">
        <v>33</v>
      </c>
      <c r="B27" s="54">
        <v>2441</v>
      </c>
      <c r="C27" s="54">
        <v>1492.44</v>
      </c>
    </row>
    <row r="28" spans="1:3" x14ac:dyDescent="0.3">
      <c r="A28" s="56" t="s">
        <v>34</v>
      </c>
      <c r="B28" s="54">
        <v>2581</v>
      </c>
      <c r="C28" s="54">
        <v>1352.44</v>
      </c>
    </row>
    <row r="29" spans="1:3" x14ac:dyDescent="0.3">
      <c r="A29" s="56" t="s">
        <v>61</v>
      </c>
      <c r="B29" s="54">
        <v>28921</v>
      </c>
      <c r="C29" s="54">
        <v>14346.840000000004</v>
      </c>
    </row>
  </sheetData>
  <mergeCells count="1">
    <mergeCell ref="A1:M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52C6F-4CF7-4AC8-9442-363DF638FE48}">
  <dimension ref="A1"/>
  <sheetViews>
    <sheetView workbookViewId="0">
      <selection activeCell="L15" sqref="L15"/>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Budget</vt:lpstr>
      <vt:lpstr>Sheet3</vt:lpstr>
      <vt:lpstr>Project Summary</vt:lpstr>
      <vt:lpstr>Dashboard</vt:lpstr>
      <vt:lpstr>Data</vt:lpstr>
      <vt:lpstr>Pivot Tables</vt:lpstr>
      <vt:lpstr>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kota 💕</dc:creator>
  <cp:keywords/>
  <dc:description/>
  <cp:lastModifiedBy>kota 💕</cp:lastModifiedBy>
  <cp:revision/>
  <cp:lastPrinted>2026-10-07T14:38:00Z</cp:lastPrinted>
  <dcterms:created xsi:type="dcterms:W3CDTF">2025-10-24T15:00:54Z</dcterms:created>
  <dcterms:modified xsi:type="dcterms:W3CDTF">2026-10-26T15:46:44Z</dcterms:modified>
  <cp:category/>
  <cp:contentStatus/>
</cp:coreProperties>
</file>